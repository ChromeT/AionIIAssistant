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Gear" sheetId="2" r:id="rId6"/>
    <sheet state="visible" name="Setting" sheetId="3" r:id="rId7"/>
    <sheet state="visible" name="Hitung" sheetId="4" r:id="rId8"/>
    <sheet state="visible" name="Hitung2" sheetId="5" r:id="rId9"/>
  </sheets>
  <definedNames/>
  <calcPr/>
</workbook>
</file>

<file path=xl/sharedStrings.xml><?xml version="1.0" encoding="utf-8"?>
<sst xmlns="http://schemas.openxmlformats.org/spreadsheetml/2006/main" count="337" uniqueCount="270">
  <si>
    <t>Setting</t>
  </si>
  <si>
    <t>Biru = angka yang boleh diubah. Hitam = rumus. Biasanya tidak perlu dibuka kecuali reward / bracket / harga berubah.</t>
  </si>
  <si>
    <t>Parameter</t>
  </si>
  <si>
    <t>Nilai</t>
  </si>
  <si>
    <t>Keterangan</t>
  </si>
  <si>
    <t>Energi per cube (1 run)</t>
  </si>
  <si>
    <t>Dari screenshot: Cube Reward = 40 energi.</t>
  </si>
  <si>
    <t>AION 2 - Kina Mingguan: Dashboard</t>
  </si>
  <si>
    <t>Regen energi per interval</t>
  </si>
  <si>
    <t>Dari kamu: 15 per 3 jam.</t>
  </si>
  <si>
    <t>Interval regen (jam)</t>
  </si>
  <si>
    <t>Dari kamu.</t>
  </si>
  <si>
    <t>Hitung (mesin perhitungan)</t>
  </si>
  <si>
    <t>Energi gratis per karakter / minggu</t>
  </si>
  <si>
    <t>Tidak perlu dibuka atau diedit.</t>
  </si>
  <si>
    <t>No</t>
  </si>
  <si>
    <t>Mode</t>
  </si>
  <si>
    <t>Kategori</t>
  </si>
  <si>
    <t>Kina full</t>
  </si>
  <si>
    <t>Min GS</t>
  </si>
  <si>
    <t>Play count skrg</t>
  </si>
  <si>
    <t>Mult skrg</t>
  </si>
  <si>
    <t>Kina/cube skrg</t>
  </si>
  <si>
    <t>Cube pass1</t>
  </si>
  <si>
    <t>Total cat pass1</t>
  </si>
  <si>
    <t>Mult acuan</t>
  </si>
  <si>
    <t>Kina/cube acuan</t>
  </si>
  <si>
    <t>Cube rencana</t>
  </si>
  <si>
    <t>Mulai (posisi)</t>
  </si>
  <si>
    <t>Gear Checklist</t>
  </si>
  <si>
    <t>Akhir (posisi)</t>
  </si>
  <si>
    <t>Ov L1</t>
  </si>
  <si>
    <t>Ov L2</t>
  </si>
  <si>
    <t>Ov L3</t>
  </si>
  <si>
    <t>Pilih ✔ di sel yang gear-nya SUDAH didapat (kosong = belum). Data awal diambil dari Item_Tracker. Jumlah yang kurang dihitung otomatis.</t>
  </si>
  <si>
    <t>Ov L4</t>
  </si>
  <si>
    <t>Ov L5</t>
  </si>
  <si>
    <t>OvDone L1</t>
  </si>
  <si>
    <t>ACCESSORIES</t>
  </si>
  <si>
    <t>OvDone L2</t>
  </si>
  <si>
    <t>OvDone L3</t>
  </si>
  <si>
    <t>Rumus: 15 x 8 x 7 = 840.</t>
  </si>
  <si>
    <t>OvDone L4</t>
  </si>
  <si>
    <t>Energi per 1 craft / 1 stone shop</t>
  </si>
  <si>
    <t>GEAR</t>
  </si>
  <si>
    <t>OvDone L5</t>
  </si>
  <si>
    <t>Dari kamu: 1 craft / 1 pembelian = 40 energi.</t>
  </si>
  <si>
    <t>Mult L1</t>
  </si>
  <si>
    <t>Biaya kina per craft</t>
  </si>
  <si>
    <t>Mult L2</t>
  </si>
  <si>
    <t>Dari template Kalkulator (sumber guide web, verifikasi di game).</t>
  </si>
  <si>
    <t>Mult L3</t>
  </si>
  <si>
    <t>Biaya material tambahan per craft (kina)</t>
  </si>
  <si>
    <t>Opsional: isi nilai pasar material craft jika mau dihitung.</t>
  </si>
  <si>
    <t>Mult L4</t>
  </si>
  <si>
    <t>Harga shop per 1 stone (kina)</t>
  </si>
  <si>
    <t>Mult L5</t>
  </si>
  <si>
    <t>Lo L1</t>
  </si>
  <si>
    <t>Batas craft per karakter / minggu</t>
  </si>
  <si>
    <t>1. PLAY COUNT SAAT INI</t>
  </si>
  <si>
    <t>Lo L2</t>
  </si>
  <si>
    <t>Dari kamu: 4 x 40 energi.</t>
  </si>
  <si>
    <t>Lo L3</t>
  </si>
  <si>
    <t>Batas craft per server / minggu</t>
  </si>
  <si>
    <t>Lo L4</t>
  </si>
  <si>
    <t>Dari kamu: 16 x 40 energi (dibagi ke karakter mana saja).</t>
  </si>
  <si>
    <t>Lo L5</t>
  </si>
  <si>
    <t>Batas beli shop per karakter / minggu</t>
  </si>
  <si>
    <t>Dari kamu: 20 x 40 energi.</t>
  </si>
  <si>
    <t>Hi L1</t>
  </si>
  <si>
    <t>Hi L2</t>
  </si>
  <si>
    <t>DAFTAR MODE / DUNGEON</t>
  </si>
  <si>
    <t>Hi L3</t>
  </si>
  <si>
    <t>Karakter</t>
  </si>
  <si>
    <t>Hi L4</t>
  </si>
  <si>
    <t>Hi L5</t>
  </si>
  <si>
    <t>Kina reward (100%)</t>
  </si>
  <si>
    <t>Kina rencana</t>
  </si>
  <si>
    <t>Conquest</t>
  </si>
  <si>
    <t>Kina sudah</t>
  </si>
  <si>
    <t>T2</t>
  </si>
  <si>
    <t>Tipe</t>
  </si>
  <si>
    <t>Set Accessories</t>
  </si>
  <si>
    <t>Wpn</t>
  </si>
  <si>
    <t>Vakron (angka dari kamu)</t>
  </si>
  <si>
    <t>Ear L</t>
  </si>
  <si>
    <t>T3</t>
  </si>
  <si>
    <t>Ear R</t>
  </si>
  <si>
    <t>Fire Temple (angka dari kamu)</t>
  </si>
  <si>
    <t>S1</t>
  </si>
  <si>
    <t>Neck</t>
  </si>
  <si>
    <t>Transcend</t>
  </si>
  <si>
    <t>Tier sekarang</t>
  </si>
  <si>
    <t>Transcend Stage 1 (angka dari kamu)</t>
  </si>
  <si>
    <t>Ring L</t>
  </si>
  <si>
    <t>S2</t>
  </si>
  <si>
    <t>Ring R</t>
  </si>
  <si>
    <t>Transcend Stage 2 (angka dari kamu)</t>
  </si>
  <si>
    <t>S3</t>
  </si>
  <si>
    <t>Set Gear</t>
  </si>
  <si>
    <t>PERKIRAAN reward 420.000 (dari template). Ganti dengan angka asli.</t>
  </si>
  <si>
    <t>S4</t>
  </si>
  <si>
    <t>Guards</t>
  </si>
  <si>
    <t>Angka dari template Kalkulator.</t>
  </si>
  <si>
    <t>Breastplate</t>
  </si>
  <si>
    <t>Greaves</t>
  </si>
  <si>
    <t>Helm</t>
  </si>
  <si>
    <t>Mode baru: isi di baris kosong (kategori Conquest / Transcend). Baris kosong diabaikan.</t>
  </si>
  <si>
    <t>Pauldrons</t>
  </si>
  <si>
    <t>BRACKET PLAY COUNT (pengurangan kina)</t>
  </si>
  <si>
    <t>Gloves</t>
  </si>
  <si>
    <t>Level</t>
  </si>
  <si>
    <t>Mulai (play count)</t>
  </si>
  <si>
    <t>Sampai</t>
  </si>
  <si>
    <t>Multiplier kina</t>
  </si>
  <si>
    <t>Boots</t>
  </si>
  <si>
    <t>Cloak</t>
  </si>
  <si>
    <t>Arkanis</t>
  </si>
  <si>
    <t>Deus</t>
  </si>
  <si>
    <t>Kurang Acc</t>
  </si>
  <si>
    <t>Kurang Gear</t>
  </si>
  <si>
    <t>Total kurang</t>
  </si>
  <si>
    <t>Play lagi sebelum tier turun</t>
  </si>
  <si>
    <t>🛡️</t>
  </si>
  <si>
    <t>Kromede</t>
  </si>
  <si>
    <t>Sumber: screenshot 'Cumulative Play Reward Adjustment' dari kamu. 999.999 = tak terbatas. 'Mulai' = play count saat run dimulai (84 -&gt; tier 80%).</t>
  </si>
  <si>
    <t>RENCANA ENERGI TAMBAHAN PER KARAKTER (craft &amp; shop)</t>
  </si>
  <si>
    <t>Craft karakter (jml)</t>
  </si>
  <si>
    <t>Craft server dialokasikan</t>
  </si>
  <si>
    <t>Beli shop (jml)</t>
  </si>
  <si>
    <t>Cube / minggu (maks)</t>
  </si>
  <si>
    <t>Biaya craft (kina)</t>
  </si>
  <si>
    <t>Biaya shop (kina)</t>
  </si>
  <si>
    <t>Total biaya (kina)</t>
  </si>
  <si>
    <t>Tier berikutnya</t>
  </si>
  <si>
    <t>Horn Den</t>
  </si>
  <si>
    <t>2. REKOMENDASI</t>
  </si>
  <si>
    <t>Urugugu</t>
  </si>
  <si>
    <t>Vakron</t>
  </si>
  <si>
    <t xml:space="preserve">3. KARAKTER </t>
  </si>
  <si>
    <t>GS terbaru</t>
  </si>
  <si>
    <t>TOTAL</t>
  </si>
  <si>
    <t>GS awal (sekali)</t>
  </si>
  <si>
    <t>Naik total</t>
  </si>
  <si>
    <t>Odyle</t>
  </si>
  <si>
    <t>Mode terbaik</t>
  </si>
  <si>
    <t>Kina / cube sekarang</t>
  </si>
  <si>
    <t>Urutan main</t>
  </si>
  <si>
    <t>Target tier (GS)</t>
  </si>
  <si>
    <t>Kurang GS</t>
  </si>
  <si>
    <t>Tambah kina / minggu</t>
  </si>
  <si>
    <t>Kina / minggu per 1 GS</t>
  </si>
  <si>
    <t>Prioritas naik GS</t>
  </si>
  <si>
    <t>Gear</t>
  </si>
  <si>
    <t>Saran</t>
  </si>
  <si>
    <t>ChromeT</t>
  </si>
  <si>
    <t>Habis</t>
  </si>
  <si>
    <t>Isi hanya jika kamu benar-benar membeli energi tambahan. Isi 0 jika tidak. Biaya dipakai untuk menghitung kina BERSIH.</t>
  </si>
  <si>
    <t>Roxarika</t>
  </si>
  <si>
    <t>Tersedia</t>
  </si>
  <si>
    <t>Crosley</t>
  </si>
  <si>
    <t>Hitung2 (mesin: tambahan kina tepat jika satu karakter pindah ke mode lebih tinggi)</t>
  </si>
  <si>
    <t>Tidak perlu dibuka atau diedit. Membandingkan total rencana sekarang vs rencana jika satu karakter pindah mode, dengan bracket penuh.</t>
  </si>
  <si>
    <t>Matriks urutan: 1 = mode kolom dimainkan SEBELUM mode baris (kategori sama, reward lebih tinggi / urutan lebih awal)</t>
  </si>
  <si>
    <t>m1</t>
  </si>
  <si>
    <t>m2</t>
  </si>
  <si>
    <t>m3</t>
  </si>
  <si>
    <t>m4</t>
  </si>
  <si>
    <t>m5</t>
  </si>
  <si>
    <t>m6</t>
  </si>
  <si>
    <t>m7</t>
  </si>
  <si>
    <t>m8</t>
  </si>
  <si>
    <t>pos x</t>
  </si>
  <si>
    <t>Nathanael</t>
  </si>
  <si>
    <t>Cicero</t>
  </si>
  <si>
    <t>Seneca</t>
  </si>
  <si>
    <t>Averroes</t>
  </si>
  <si>
    <t>Claudius</t>
  </si>
  <si>
    <t>PREDIKSI KINA MINGGU INI</t>
  </si>
  <si>
    <t>Kapasitas cube minggu ini (semua karakter)</t>
  </si>
  <si>
    <t>Cube terpakai (perkiraan = play count Conquest + Transcend)</t>
  </si>
  <si>
    <t>Sisa cube (perkiraan)</t>
  </si>
  <si>
    <t>Kina yang sudah didapat (perkiraan)</t>
  </si>
  <si>
    <t>PREDIKSI kina dari sisa cube (kotor)</t>
  </si>
  <si>
    <t>PREDIKSI total kina minggu ini (kotor, maksimal)</t>
  </si>
  <si>
    <t>Biaya craft + shop (rencana, dari sheet Setting)</t>
  </si>
  <si>
    <t>PREDIKSI total kina BERSIH (maksimal)</t>
  </si>
  <si>
    <t>RENCANA PER MODE</t>
  </si>
  <si>
    <t>Cube direncanakan</t>
  </si>
  <si>
    <t>Kina prediksi</t>
  </si>
  <si>
    <t>Rata-rata / cube</t>
  </si>
  <si>
    <t>CATATAN &amp; ASUMSI</t>
  </si>
  <si>
    <t>- Prediksi: semua cube kapasitas dimainkan; tiap karakter memakai mode berkina terbaik yang sesuai GS-nya (dihitung pada tier perkiraan akhir minggu); dalam tiap kategori, reward tertinggi dimainkan lebih dulu.</t>
  </si>
  <si>
    <t>- Cube terpakai dianggap = play count (1 play = 1 cube, semua karakter 1 cube/main). 'Kina sudah didapat' mengasumsikan play yang lalu sudah berurutan dari reward tertinggi.</t>
  </si>
  <si>
    <t>- Play count Conquest dan Transcend dihitung terpisah, dan hanya diisi karakter-karakter kamu di server ini.</t>
  </si>
  <si>
    <t>- Odyle 'Habis' hanya menggeser urutan main (karakter itu dilewati sampai kamu ganti ke 'Tersedia'); tidak mengurangi prediksi mingguan.</t>
  </si>
  <si>
    <t>- GS awal diisi sekali (patokan). 'Naik total' = GS terbaru - GS awal. Ubah GS awal tiap Senin jika ingin melihat kenaikan per minggu.</t>
  </si>
  <si>
    <t>- 'Tambah kina / minggu' dihitung per karakter sendiri-sendiri; jika banyak karakter pindah ke mode yang sama, tier-nya turun dan hasilnya lebih kecil.</t>
  </si>
  <si>
    <t>GS</t>
  </si>
  <si>
    <t>Cap cube</t>
  </si>
  <si>
    <t>V1 m1</t>
  </si>
  <si>
    <t>V1 m2</t>
  </si>
  <si>
    <t>V1 m3</t>
  </si>
  <si>
    <t>V1 m4</t>
  </si>
  <si>
    <t>V1 m5</t>
  </si>
  <si>
    <t>V1 m6</t>
  </si>
  <si>
    <t>V1 m7</t>
  </si>
  <si>
    <t>V1 m8</t>
  </si>
  <si>
    <t>Best1</t>
  </si>
  <si>
    <t>Idx1</t>
  </si>
  <si>
    <t>V2 m1</t>
  </si>
  <si>
    <t>V2 m2</t>
  </si>
  <si>
    <t>V2 m3</t>
  </si>
  <si>
    <t>V2 m4</t>
  </si>
  <si>
    <t>V2 m5</t>
  </si>
  <si>
    <t>V2 m6</t>
  </si>
  <si>
    <t>V2 m7</t>
  </si>
  <si>
    <t>V2 m8</t>
  </si>
  <si>
    <t>Best2</t>
  </si>
  <si>
    <t>Idx2</t>
  </si>
  <si>
    <t>Skor main</t>
  </si>
  <si>
    <t>Rank main</t>
  </si>
  <si>
    <t>(kosong) 1</t>
  </si>
  <si>
    <t>(kosong) 2</t>
  </si>
  <si>
    <t>(kosong) 3</t>
  </si>
  <si>
    <t>(kosong) 4</t>
  </si>
  <si>
    <t>(kosong) 5</t>
  </si>
  <si>
    <t>(kosong) 6</t>
  </si>
  <si>
    <t>(kosong) 7</t>
  </si>
  <si>
    <t>(kosong) 8</t>
  </si>
  <si>
    <t>Best gain/GS</t>
  </si>
  <si>
    <t>Idx target</t>
  </si>
  <si>
    <t>Target mode</t>
  </si>
  <si>
    <t>Target GS</t>
  </si>
  <si>
    <t>Tambah/cube (info)</t>
  </si>
  <si>
    <t>Tambah/minggu (exact)</t>
  </si>
  <si>
    <t>Skor upgrade</t>
  </si>
  <si>
    <t>Rank upgrade</t>
  </si>
  <si>
    <t>Char#</t>
  </si>
  <si>
    <t>Target#</t>
  </si>
  <si>
    <t>Valid?</t>
  </si>
  <si>
    <t>Cap</t>
  </si>
  <si>
    <t>Mode skrg</t>
  </si>
  <si>
    <t>n' m1</t>
  </si>
  <si>
    <t>n' m2</t>
  </si>
  <si>
    <t>n' m3</t>
  </si>
  <si>
    <t>n' m4</t>
  </si>
  <si>
    <t>n' m5</t>
  </si>
  <si>
    <t>n' m6</t>
  </si>
  <si>
    <t>n' m7</t>
  </si>
  <si>
    <t>n' m8</t>
  </si>
  <si>
    <t>mulai' m1</t>
  </si>
  <si>
    <t>mulai' m2</t>
  </si>
  <si>
    <t>mulai' m3</t>
  </si>
  <si>
    <t>mulai' m4</t>
  </si>
  <si>
    <t>mulai' m5</t>
  </si>
  <si>
    <t>mulai' m6</t>
  </si>
  <si>
    <t>mulai' m7</t>
  </si>
  <si>
    <t>mulai' m8</t>
  </si>
  <si>
    <t>kina' m1</t>
  </si>
  <si>
    <t>kina' m2</t>
  </si>
  <si>
    <t>kina' m3</t>
  </si>
  <si>
    <t>kina' m4</t>
  </si>
  <si>
    <t>kina' m5</t>
  </si>
  <si>
    <t>kina' m6</t>
  </si>
  <si>
    <t>kina' m7</t>
  </si>
  <si>
    <t>kina' m8</t>
  </si>
  <si>
    <t>Total baru</t>
  </si>
  <si>
    <t>Tambah/minggu</t>
  </si>
  <si>
    <t>Tambah per 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</si>
</sst>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\(#,##0\);\-"/>
    <numFmt numFmtId="165" formatCode="\+#,##0;\-#,##0;0"/>
  </numFmts>
  <fonts count="18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FF"/>
      <name val="Arial"/>
    </font>
    <font>
      <b/>
      <sz val="12.0"/>
      <color rgb="FF1F3864"/>
      <name val="Arial"/>
    </font>
    <font>
      <sz val="12.0"/>
      <color theme="1"/>
      <name val="Arial"/>
    </font>
    <font>
      <i/>
      <sz val="12.0"/>
      <color rgb="FF595959"/>
      <name val="Arial"/>
    </font>
    <font>
      <b/>
      <sz val="11.0"/>
      <color rgb="FF1F3864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2.0"/>
      <color rgb="FF0000FF"/>
      <name val="Arial"/>
    </font>
    <font>
      <sz val="10.0"/>
      <color rgb="FF008000"/>
      <name val="Arial"/>
    </font>
    <font>
      <b/>
      <sz val="10.0"/>
      <color rgb="FF0000FF"/>
      <name val="Arial"/>
    </font>
    <font/>
    <font>
      <b/>
      <sz val="12.0"/>
      <color rgb="FFFFFFFF"/>
      <name val="Arial"/>
    </font>
    <font>
      <sz val="12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FFE699"/>
        <bgColor rgb="FFFFE699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5" numFmtId="3" xfId="0" applyAlignment="1" applyBorder="1" applyFont="1" applyNumberForma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bottom" wrapText="0"/>
    </xf>
    <xf borderId="0" fillId="0" fontId="7" numFmtId="0" xfId="0" applyFont="1"/>
    <xf borderId="0" fillId="0" fontId="8" numFmtId="0" xfId="0" applyAlignment="1" applyFont="1">
      <alignment shrinkToFit="0" vertical="bottom" wrapText="0"/>
    </xf>
    <xf borderId="1" fillId="0" fontId="4" numFmtId="3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shrinkToFit="0" vertical="bottom" wrapText="0"/>
    </xf>
    <xf borderId="1" fillId="3" fontId="12" numFmtId="1" xfId="0" applyAlignment="1" applyBorder="1" applyFill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0" fillId="0" fontId="10" numFmtId="49" xfId="0" applyAlignment="1" applyFont="1" applyNumberFormat="1">
      <alignment horizontal="center" readingOrder="0" shrinkToFit="0" vertical="center" wrapText="1"/>
    </xf>
    <xf borderId="1" fillId="0" fontId="5" numFmtId="9" xfId="0" applyAlignment="1" applyBorder="1" applyFont="1" applyNumberFormat="1">
      <alignment horizontal="center" shrinkToFit="0" vertical="center" wrapText="1"/>
    </xf>
    <xf borderId="0" fillId="0" fontId="4" numFmtId="1" xfId="0" applyAlignment="1" applyFont="1" applyNumberFormat="1">
      <alignment shrinkToFit="0" vertical="bottom" wrapText="0"/>
    </xf>
    <xf borderId="1" fillId="0" fontId="7" numFmtId="9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7" numFmtId="1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1" fillId="0" fontId="5" numFmtId="1" xfId="0" applyAlignment="1" applyBorder="1" applyFont="1" applyNumberFormat="1">
      <alignment readingOrder="0" shrinkToFit="0" vertical="center" wrapText="1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1" xfId="0" applyAlignment="1" applyBorder="1" applyFont="1" applyNumberFormat="1">
      <alignment shrinkToFit="0" vertical="center" wrapText="1"/>
    </xf>
    <xf borderId="1" fillId="0" fontId="10" numFmtId="1" xfId="0" applyAlignment="1" applyBorder="1" applyFont="1" applyNumberFormat="1">
      <alignment shrinkToFit="0" vertical="center" wrapText="1"/>
    </xf>
    <xf borderId="2" fillId="4" fontId="6" numFmtId="0" xfId="0" applyAlignment="1" applyBorder="1" applyFill="1" applyFont="1">
      <alignment horizontal="center" shrinkToFit="0" vertical="center" wrapText="0"/>
    </xf>
    <xf borderId="3" fillId="0" fontId="15" numFmtId="0" xfId="0" applyBorder="1" applyFont="1"/>
    <xf borderId="4" fillId="0" fontId="15" numFmtId="0" xfId="0" applyBorder="1" applyFont="1"/>
    <xf borderId="2" fillId="5" fontId="6" numFmtId="0" xfId="0" applyAlignment="1" applyBorder="1" applyFill="1" applyFont="1">
      <alignment horizontal="center" shrinkToFit="0" vertical="center" wrapText="0"/>
    </xf>
    <xf borderId="2" fillId="6" fontId="6" numFmtId="0" xfId="0" applyAlignment="1" applyBorder="1" applyFill="1" applyFont="1">
      <alignment horizontal="left" shrinkToFit="0" vertical="center" wrapText="0"/>
    </xf>
    <xf borderId="0" fillId="0" fontId="6" numFmtId="0" xfId="0" applyAlignment="1" applyFont="1">
      <alignment readingOrder="0" shrinkToFit="0" vertical="bottom" wrapText="0"/>
    </xf>
    <xf borderId="1" fillId="2" fontId="16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shrinkToFit="0" vertical="bottom" wrapText="0"/>
    </xf>
    <xf borderId="1" fillId="0" fontId="12" numFmtId="0" xfId="0" applyAlignment="1" applyBorder="1" applyFont="1">
      <alignment horizontal="center" shrinkToFit="0" vertical="center" wrapText="0"/>
    </xf>
    <xf borderId="1" fillId="3" fontId="12" numFmtId="3" xfId="0" applyAlignment="1" applyBorder="1" applyFill="1" applyFont="1" applyNumberFormat="1">
      <alignment horizontal="center" readingOrder="0" shrinkToFit="0" vertical="center" wrapText="0"/>
    </xf>
    <xf borderId="1" fillId="0" fontId="17" numFmtId="3" xfId="0" applyAlignment="1" applyBorder="1" applyFont="1" applyNumberFormat="1">
      <alignment horizontal="center" shrinkToFit="0" vertical="center" wrapText="0"/>
    </xf>
    <xf borderId="1" fillId="5" fontId="10" numFmtId="1" xfId="0" applyAlignment="1" applyBorder="1" applyFill="1" applyFont="1" applyNumberForma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0"/>
    </xf>
    <xf borderId="1" fillId="5" fontId="10" numFmtId="164" xfId="0" applyAlignment="1" applyBorder="1" applyFill="1" applyFont="1" applyNumberFormat="1">
      <alignment shrinkToFit="0" vertical="bottom" wrapText="0"/>
    </xf>
    <xf borderId="1" fillId="3" fontId="12" numFmtId="0" xfId="0" applyAlignment="1" applyBorder="1" applyFill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164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center" wrapText="1"/>
    </xf>
    <xf borderId="1" fillId="0" fontId="7" numFmtId="3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1" fillId="3" fontId="12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5" fillId="0" fontId="7" numFmtId="0" xfId="0" applyAlignment="1" applyBorder="1" applyFont="1">
      <alignment shrinkToFit="0" vertical="bottom" wrapText="0"/>
    </xf>
    <xf borderId="6" fillId="0" fontId="15" numFmtId="0" xfId="0" applyBorder="1" applyFont="1"/>
    <xf borderId="7" fillId="0" fontId="15" numFmtId="0" xfId="0" applyBorder="1" applyFont="1"/>
    <xf borderId="1" fillId="0" fontId="7" numFmtId="1" xfId="0" applyAlignment="1" applyBorder="1" applyFont="1" applyNumberFormat="1">
      <alignment horizontal="right" shrinkToFit="0" vertical="bottom" wrapText="0"/>
    </xf>
    <xf borderId="1" fillId="0" fontId="7" numFmtId="164" xfId="0" applyAlignment="1" applyBorder="1" applyFont="1" applyNumberFormat="1">
      <alignment horizontal="right" shrinkToFit="0" vertical="bottom" wrapText="0"/>
    </xf>
    <xf borderId="5" fillId="5" fontId="11" numFmtId="0" xfId="0" applyAlignment="1" applyBorder="1" applyFill="1" applyFont="1">
      <alignment shrinkToFit="0" vertical="bottom" wrapText="0"/>
    </xf>
    <xf borderId="1" fillId="5" fontId="11" numFmtId="164" xfId="0" applyAlignment="1" applyBorder="1" applyFill="1" applyFont="1" applyNumberFormat="1">
      <alignment horizontal="right" shrinkToFit="0" vertical="bottom" wrapText="0"/>
    </xf>
    <xf borderId="5" fillId="2" fontId="1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5" fillId="0" fontId="7" numFmtId="164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</dxfs>
  <tableStyles count="1">
    <tableStyle count="4" pivot="0" name="Ge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W13" displayName="Table1" name="Table1" id="1">
  <tableColumns count="23">
    <tableColumn name="Karakter" id="1"/>
    <tableColumn name="Tipe" id="2"/>
    <tableColumn name="Set Accessories" id="3"/>
    <tableColumn name="Wpn" id="4"/>
    <tableColumn name="Ear L" id="5"/>
    <tableColumn name="Ear R" id="6"/>
    <tableColumn name="Neck" id="7"/>
    <tableColumn name="Ring L" id="8"/>
    <tableColumn name="Ring R" id="9"/>
    <tableColumn name="Set Gear" id="10"/>
    <tableColumn name="Guards" id="11"/>
    <tableColumn name="Breastplate" id="12"/>
    <tableColumn name="Greaves" id="13"/>
    <tableColumn name="Helm" id="14"/>
    <tableColumn name="Pauldrons" id="15"/>
    <tableColumn name="Gloves" id="16"/>
    <tableColumn name="Boots" id="17"/>
    <tableColumn name="Cloak" id="18"/>
    <tableColumn name="Arkanis" id="19"/>
    <tableColumn name="Deus" id="20"/>
    <tableColumn name="Kurang Acc" id="21"/>
    <tableColumn name="Kurang Gear" id="22"/>
    <tableColumn name="Total kurang" id="23"/>
  </tableColumns>
  <tableStyleInfo name="Ge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50.0"/>
    <col customWidth="1" min="2" max="3" width="14.0"/>
    <col customWidth="1" min="4" max="4" width="13.0"/>
    <col customWidth="1" min="5" max="5" width="18.43"/>
    <col customWidth="1" min="6" max="6" width="13.0"/>
    <col customWidth="1" min="7" max="7" width="16.0"/>
    <col customWidth="1" min="8" max="8" width="11.0"/>
    <col customWidth="1" min="9" max="9" width="16.0"/>
    <col customWidth="1" min="10" max="10" width="11.0"/>
    <col customWidth="1" min="11" max="11" width="18.0"/>
    <col customWidth="1" min="12" max="12" width="16.0"/>
    <col customWidth="1" min="13" max="13" width="12.0"/>
    <col customWidth="1" min="14" max="14" width="57.14"/>
    <col customWidth="1" min="15" max="15" width="44.0"/>
    <col customWidth="1" min="16" max="26" width="8.71"/>
  </cols>
  <sheetData>
    <row r="1">
      <c r="A1" s="7" t="s">
        <v>7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3" t="s">
        <v>59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15" t="s">
        <v>78</v>
      </c>
      <c r="B5" s="20">
        <v>50.0</v>
      </c>
      <c r="C5" s="21" t="s">
        <v>92</v>
      </c>
      <c r="D5" s="26">
        <f>SUMIFS(Setting!$E$30:$E$39,Setting!$A$30:$A$39,$A5,Setting!$C$30:$C$39,"&lt;="&amp;$B5,Setting!$D$30:$D$39,"&gt;="&amp;$B5)</f>
        <v>1</v>
      </c>
      <c r="E5" s="21" t="s">
        <v>122</v>
      </c>
      <c r="F5" s="31">
        <f>IF(SUMIFS(Setting!$D$30:$D$39,Setting!$A$30:$A$39,$A5,Setting!$C$30:$C$39,"&lt;="&amp;$B5,Setting!$D$30:$D$39,"&gt;="&amp;$B5)&gt;=999999,"tier terakhir",SUMIFS(Setting!$D$30:$D$39,Setting!$A$30:$A$39,$A5,Setting!$C$30:$C$39,"&lt;="&amp;$B5,Setting!$D$30:$D$39,"&gt;="&amp;$B5)-$B5+1)</f>
        <v>34</v>
      </c>
      <c r="G5" s="21" t="s">
        <v>134</v>
      </c>
      <c r="H5" s="26">
        <f>IF(F5="tier terakhir","-",SUMIFS(Setting!$E$30:$E$39,Setting!$A$30:$A$39,$A5,Setting!$C$30:$C$39,"&lt;="&amp;($B5+F5),Setting!$D$30:$D$39,"&gt;="&amp;($B5+F5)))</f>
        <v>0.8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15" t="s">
        <v>91</v>
      </c>
      <c r="B6" s="20">
        <v>5.0</v>
      </c>
      <c r="C6" s="21" t="s">
        <v>92</v>
      </c>
      <c r="D6" s="26">
        <f>SUMIFS(Setting!$E$30:$E$39,Setting!$A$30:$A$39,$A6,Setting!$C$30:$C$39,"&lt;="&amp;$B6,Setting!$D$30:$D$39,"&gt;="&amp;$B6)</f>
        <v>1</v>
      </c>
      <c r="E6" s="21" t="s">
        <v>122</v>
      </c>
      <c r="F6" s="31">
        <f>IF(SUMIFS(Setting!$D$30:$D$39,Setting!$A$30:$A$39,$A6,Setting!$C$30:$C$39,"&lt;="&amp;$B6,Setting!$D$30:$D$39,"&gt;="&amp;$B6)&gt;=999999,"tier terakhir",SUMIFS(Setting!$D$30:$D$39,Setting!$A$30:$A$39,$A6,Setting!$C$30:$C$39,"&lt;="&amp;$B6,Setting!$D$30:$D$39,"&gt;="&amp;$B6)-$B6+1)</f>
        <v>51</v>
      </c>
      <c r="G6" s="21" t="s">
        <v>134</v>
      </c>
      <c r="H6" s="26">
        <f>IF(F6="tier terakhir","-",SUMIFS(Setting!$E$30:$E$39,Setting!$A$30:$A$39,$A6,Setting!$C$30:$C$39,"&lt;="&amp;($B6+F6),Setting!$D$30:$D$39,"&gt;="&amp;($B6+F6)))</f>
        <v>0.8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 t="s">
        <v>136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A9" s="39" t="str">
        <f t="array" ref="A9">IFERROR("MAIN SEKARANG:  "&amp;INDEX($A$15:$A$22,MATCH(1,$H$15:$H$22,0))&amp;"  &gt;  "&amp;INDEX($F$15:$F$22,MATCH(1,$H$15:$H$22,0))&amp;"   (sekitar "&amp;FIXED(INDEX($G$15:$G$22,MATCH(1,$H$15:$H$22,0)),0)&amp;" kina/cube)","Tidak ada karakter dengan Odyle 'Tersedia' (atau tidak ada mode yang sesuai GS).")</f>
        <v>MAIN SEKARANG:  Roxarika  &gt;  S1   (sekitar 300,000 kina/cube)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1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0" customHeight="1">
      <c r="A10" s="42" t="str">
        <f t="array" ref="A10">IFERROR("BERIKUTNYA:  "&amp;INDEX($A$15:$A$22,MATCH(2,$H$15:$H$22,0))&amp;"  &gt;  "&amp;INDEX($F$15:$F$22,MATCH(2,$H$15:$H$22,0))&amp;"   (sekitar "&amp;FIXED(INDEX($G$15:$G$22,MATCH(2,$H$15:$H$22,0)),0)&amp;" kina/cube)","")</f>
        <v>BERIKUTNYA:  Crosley  &gt;  T2   (sekitar 300,000 kina/cube)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0" customHeight="1">
      <c r="A11" s="43" t="str">
        <f t="array" ref="A11">IFERROR("NAIKKAN GS:  "&amp;INDEX($A$15:$A$22,MATCH(1,$M$15:$M$22,0))&amp;"  &gt;  "&amp;INDEX($I$15:$I$22,MATCH(1,$M$15:$M$22,0))&amp;"   (kurang "&amp;FIXED(INDEX($J$15:$J$22,MATCH(1,$M$15:$M$22,0)),0)&amp;" GS, sekitar +"&amp;FIXED(INDEX($K$15:$K$22,MATCH(1,$M$15:$M$22,0)),0)&amp;" kina/minggu)","Tidak ada mode lebih bernilai yang bisa dibuka.")</f>
        <v>NAIKKAN GS:  Roxarika  &gt;  S2 (1,900)   (kurang 45 GS, sekitar +864,000 kina/minggu)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1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4" t="s">
        <v>139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3.5" customHeight="1">
      <c r="A14" s="45" t="s">
        <v>73</v>
      </c>
      <c r="B14" s="45" t="s">
        <v>140</v>
      </c>
      <c r="C14" s="45" t="s">
        <v>142</v>
      </c>
      <c r="D14" s="45" t="s">
        <v>143</v>
      </c>
      <c r="E14" s="45" t="s">
        <v>144</v>
      </c>
      <c r="F14" s="45" t="s">
        <v>145</v>
      </c>
      <c r="G14" s="45" t="s">
        <v>146</v>
      </c>
      <c r="H14" s="45" t="s">
        <v>147</v>
      </c>
      <c r="I14" s="45" t="s">
        <v>148</v>
      </c>
      <c r="J14" s="45" t="s">
        <v>149</v>
      </c>
      <c r="K14" s="45" t="s">
        <v>150</v>
      </c>
      <c r="L14" s="45" t="s">
        <v>151</v>
      </c>
      <c r="M14" s="45" t="s">
        <v>152</v>
      </c>
      <c r="N14" s="45" t="s">
        <v>153</v>
      </c>
      <c r="O14" s="45" t="s">
        <v>154</v>
      </c>
      <c r="P14" s="8"/>
      <c r="R14" s="8"/>
      <c r="S14" s="8"/>
      <c r="T14" s="8"/>
      <c r="U14" s="8"/>
      <c r="V14" s="8"/>
      <c r="W14" s="8"/>
      <c r="X14" s="8"/>
      <c r="Y14" s="8"/>
      <c r="Z14" s="8"/>
    </row>
    <row r="15" ht="28.5" customHeight="1">
      <c r="A15" s="47" t="s">
        <v>155</v>
      </c>
      <c r="B15" s="48">
        <v>2531.0</v>
      </c>
      <c r="C15" s="49">
        <v>2428.0</v>
      </c>
      <c r="D15" s="51">
        <f t="shared" ref="D15:D22" si="1">IF(OR(A15="",B15=""),"",B15-C15)</f>
        <v>103</v>
      </c>
      <c r="E15" s="53" t="s">
        <v>156</v>
      </c>
      <c r="F15" s="54" t="str">
        <f>IF(A15="","",Hitung!Y17)</f>
        <v>S4</v>
      </c>
      <c r="G15" s="55">
        <f>IF(A15="","",Hitung!Z17)</f>
        <v>480000</v>
      </c>
      <c r="H15" s="54" t="str">
        <f>IF(A15="","",IF(Hitung!AA17&lt;0,"-",Hitung!AB17))</f>
        <v>-</v>
      </c>
      <c r="I15" s="54" t="str">
        <f>IF(A15="","",IF(Hitung!AL17=0,"-",Hitung!AM17&amp;" ("&amp;FIXED(Hitung!AN17,0)&amp;")"))</f>
        <v>-</v>
      </c>
      <c r="J15" s="58" t="str">
        <f>IF(OR(A15="",Hitung!AL17=0),"",Hitung!AO17)</f>
        <v/>
      </c>
      <c r="K15" s="55" t="str">
        <f>IF(OR(A15="",Hitung!AL17=0),"",Hitung!AQ17)</f>
        <v/>
      </c>
      <c r="L15" s="58" t="str">
        <f>IF(OR(A15="",Hitung!AL17=0),"",Hitung!AK17)</f>
        <v/>
      </c>
      <c r="M15" s="54" t="str">
        <f>IF(A15="","",IF(Hitung!AR17&lt;0,"-",Hitung!AS17))</f>
        <v>-</v>
      </c>
      <c r="N15" s="54" t="str">
        <f>IF(A15="","",IF(Gear!W6=0,"Lengkap",Gear!W6&amp;" item kurang (Acc "&amp;Gear!U6&amp;" / Gear "&amp;Gear!V6&amp;")"))</f>
        <v>4 item kurang (Acc 1 / Gear 3)</v>
      </c>
      <c r="O15" s="54" t="str">
        <f t="shared" ref="O15:O22" si="2">IF(A15="","",IF(E15="Habis","Odyle habis: tunggu pulih",IF(H15=1,"MAIN SEKARANG",IF(ISNUMBER(H15),"Main urutan "&amp;H15,"-")))&amp;IF(M15=1,"  |  PRIORITAS NAIK GS",""))</f>
        <v>Odyle habis: tunggu pulih</v>
      </c>
      <c r="P15" s="59"/>
      <c r="R15" s="59"/>
      <c r="S15" s="59"/>
      <c r="T15" s="59"/>
      <c r="U15" s="59"/>
      <c r="V15" s="59"/>
      <c r="W15" s="59"/>
      <c r="X15" s="59"/>
      <c r="Y15" s="59"/>
      <c r="Z15" s="59"/>
    </row>
    <row r="16" ht="28.5" customHeight="1">
      <c r="A16" s="47" t="s">
        <v>158</v>
      </c>
      <c r="B16" s="48">
        <v>1855.0</v>
      </c>
      <c r="C16" s="49">
        <v>1726.0</v>
      </c>
      <c r="D16" s="51">
        <f t="shared" si="1"/>
        <v>129</v>
      </c>
      <c r="E16" s="53" t="s">
        <v>159</v>
      </c>
      <c r="F16" s="54" t="str">
        <f>IF(A16="","",Hitung!Y18)</f>
        <v>S1</v>
      </c>
      <c r="G16" s="55">
        <f>IF(A16="","",Hitung!Z18)</f>
        <v>300000</v>
      </c>
      <c r="H16" s="54">
        <f>IF(A16="","",IF(Hitung!AA18&lt;0,"-",Hitung!AB18))</f>
        <v>1</v>
      </c>
      <c r="I16" s="54" t="str">
        <f>IF(A16="","",IF(Hitung!AL18=0,"-",Hitung!AM18&amp;" ("&amp;FIXED(Hitung!AN18,0)&amp;")"))</f>
        <v>S2 (1,900)</v>
      </c>
      <c r="J16" s="58">
        <f>IF(OR(A16="",Hitung!AL18=0),"",Hitung!AO18)</f>
        <v>45</v>
      </c>
      <c r="K16" s="55">
        <f>IF(OR(A16="",Hitung!AL18=0),"",Hitung!AQ18)</f>
        <v>864000</v>
      </c>
      <c r="L16" s="58">
        <f>IF(OR(A16="",Hitung!AL18=0),"",Hitung!AK18)</f>
        <v>19200</v>
      </c>
      <c r="M16" s="54">
        <f>IF(A16="","",IF(Hitung!AR18&lt;0,"-",Hitung!AS18))</f>
        <v>1</v>
      </c>
      <c r="N16" s="54" t="str">
        <f>IF(A16="","",IF(Gear!W7=0,"Lengkap",Gear!W7&amp;" item kurang (Acc "&amp;Gear!U7&amp;" / Gear "&amp;Gear!V7&amp;")"))</f>
        <v>14 item kurang (Acc 6 / Gear 8)</v>
      </c>
      <c r="O16" s="54" t="str">
        <f t="shared" si="2"/>
        <v>MAIN SEKARANG  |  PRIORITAS NAIK GS</v>
      </c>
      <c r="P16" s="59"/>
      <c r="R16" s="59"/>
      <c r="S16" s="59"/>
      <c r="T16" s="59"/>
      <c r="U16" s="59"/>
      <c r="V16" s="59"/>
      <c r="W16" s="59"/>
      <c r="X16" s="59"/>
      <c r="Y16" s="59"/>
      <c r="Z16" s="59"/>
    </row>
    <row r="17" ht="28.5" customHeight="1">
      <c r="A17" s="47" t="s">
        <v>160</v>
      </c>
      <c r="B17" s="48">
        <v>1595.0</v>
      </c>
      <c r="C17" s="49">
        <v>1569.0</v>
      </c>
      <c r="D17" s="51">
        <f t="shared" si="1"/>
        <v>26</v>
      </c>
      <c r="E17" s="60" t="s">
        <v>159</v>
      </c>
      <c r="F17" s="54" t="str">
        <f>IF(A17="","",Hitung!Y19)</f>
        <v>T2</v>
      </c>
      <c r="G17" s="55">
        <f>IF(A17="","",Hitung!Z19)</f>
        <v>300000</v>
      </c>
      <c r="H17" s="54">
        <f>IF(A17="","",IF(Hitung!AA19&lt;0,"-",Hitung!AB19))</f>
        <v>2</v>
      </c>
      <c r="I17" s="54" t="str">
        <f>IF(A17="","",IF(Hitung!AL19=0,"-",Hitung!AM19&amp;" ("&amp;FIXED(Hitung!AN19,0)&amp;")"))</f>
        <v>T3 (2,100)</v>
      </c>
      <c r="J17" s="58">
        <f>IF(OR(A17="",Hitung!AL19=0),"",Hitung!AO19)</f>
        <v>505</v>
      </c>
      <c r="K17" s="55">
        <f>IF(OR(A17="",Hitung!AL19=0),"",Hitung!AQ19)</f>
        <v>2100000</v>
      </c>
      <c r="L17" s="58">
        <f>IF(OR(A17="",Hitung!AL19=0),"",Hitung!AK19)</f>
        <v>4158.415842</v>
      </c>
      <c r="M17" s="54">
        <f>IF(A17="","",IF(Hitung!AR19&lt;0,"-",Hitung!AS19))</f>
        <v>3</v>
      </c>
      <c r="N17" s="54" t="str">
        <f>IF(A17="","",IF(Gear!W8=0,"Lengkap",Gear!W8&amp;" item kurang (Acc "&amp;Gear!U8&amp;" / Gear "&amp;Gear!V8&amp;")"))</f>
        <v>14 item kurang (Acc 6 / Gear 8)</v>
      </c>
      <c r="O17" s="54" t="str">
        <f t="shared" si="2"/>
        <v>Main urutan 2</v>
      </c>
      <c r="P17" s="59"/>
      <c r="R17" s="59"/>
      <c r="S17" s="59"/>
      <c r="T17" s="59"/>
      <c r="U17" s="59"/>
      <c r="V17" s="59"/>
      <c r="W17" s="59"/>
      <c r="X17" s="59"/>
      <c r="Y17" s="59"/>
      <c r="Z17" s="59"/>
    </row>
    <row r="18" ht="28.5" customHeight="1">
      <c r="A18" s="47" t="s">
        <v>173</v>
      </c>
      <c r="B18" s="48">
        <v>1578.0</v>
      </c>
      <c r="C18" s="49">
        <v>1548.0</v>
      </c>
      <c r="D18" s="51">
        <f t="shared" si="1"/>
        <v>30</v>
      </c>
      <c r="E18" s="60" t="s">
        <v>159</v>
      </c>
      <c r="F18" s="54" t="str">
        <f>IF(A18="","",Hitung!Y20)</f>
        <v>T2</v>
      </c>
      <c r="G18" s="55">
        <f>IF(A18="","",Hitung!Z20)</f>
        <v>300000</v>
      </c>
      <c r="H18" s="54">
        <f>IF(A18="","",IF(Hitung!AA20&lt;0,"-",Hitung!AB20))</f>
        <v>3</v>
      </c>
      <c r="I18" s="54" t="str">
        <f>IF(A18="","",IF(Hitung!AL20=0,"-",Hitung!AM20&amp;" ("&amp;FIXED(Hitung!AN20,0)&amp;")"))</f>
        <v>T3 (2,100)</v>
      </c>
      <c r="J18" s="58">
        <f>IF(OR(A18="",Hitung!AL20=0),"",Hitung!AO20)</f>
        <v>522</v>
      </c>
      <c r="K18" s="55">
        <f>IF(OR(A18="",Hitung!AL20=0),"",Hitung!AQ20)</f>
        <v>2100000</v>
      </c>
      <c r="L18" s="58">
        <f>IF(OR(A18="",Hitung!AL20=0),"",Hitung!AK20)</f>
        <v>4022.988506</v>
      </c>
      <c r="M18" s="54">
        <f>IF(A18="","",IF(Hitung!AR20&lt;0,"-",Hitung!AS20))</f>
        <v>5</v>
      </c>
      <c r="N18" s="54" t="str">
        <f>IF(A18="","",IF(Gear!W9=0,"Lengkap",Gear!W9&amp;" item kurang (Acc "&amp;Gear!U9&amp;" / Gear "&amp;Gear!V9&amp;")"))</f>
        <v>14 item kurang (Acc 6 / Gear 8)</v>
      </c>
      <c r="O18" s="54" t="str">
        <f t="shared" si="2"/>
        <v>Main urutan 3</v>
      </c>
      <c r="P18" s="59"/>
      <c r="R18" s="59"/>
      <c r="S18" s="59"/>
      <c r="T18" s="59"/>
      <c r="U18" s="59"/>
      <c r="V18" s="59"/>
      <c r="W18" s="59"/>
      <c r="X18" s="59"/>
      <c r="Y18" s="59"/>
      <c r="Z18" s="59"/>
    </row>
    <row r="19" ht="28.5" customHeight="1">
      <c r="A19" s="47" t="s">
        <v>174</v>
      </c>
      <c r="B19" s="48">
        <v>1502.0</v>
      </c>
      <c r="C19" s="49">
        <v>1498.0</v>
      </c>
      <c r="D19" s="51">
        <f t="shared" si="1"/>
        <v>4</v>
      </c>
      <c r="E19" s="60" t="s">
        <v>159</v>
      </c>
      <c r="F19" s="54" t="str">
        <f>IF(A19="","",Hitung!Y21)</f>
        <v>T2</v>
      </c>
      <c r="G19" s="55">
        <f>IF(A19="","",Hitung!Z21)</f>
        <v>300000</v>
      </c>
      <c r="H19" s="54">
        <f>IF(A19="","",IF(Hitung!AA21&lt;0,"-",Hitung!AB21))</f>
        <v>4</v>
      </c>
      <c r="I19" s="54" t="str">
        <f>IF(A19="","",IF(Hitung!AL21=0,"-",Hitung!AM21&amp;" ("&amp;FIXED(Hitung!AN21,0)&amp;")"))</f>
        <v>T3 (2,100)</v>
      </c>
      <c r="J19" s="58">
        <f>IF(OR(A19="",Hitung!AL21=0),"",Hitung!AO21)</f>
        <v>598</v>
      </c>
      <c r="K19" s="55">
        <f>IF(OR(A19="",Hitung!AL21=0),"",Hitung!AQ21)</f>
        <v>2100000</v>
      </c>
      <c r="L19" s="58">
        <f>IF(OR(A19="",Hitung!AL21=0),"",Hitung!AK21)</f>
        <v>3511.705686</v>
      </c>
      <c r="M19" s="54">
        <f>IF(A19="","",IF(Hitung!AR21&lt;0,"-",Hitung!AS21))</f>
        <v>7</v>
      </c>
      <c r="N19" s="54" t="str">
        <f>IF(A19="","",IF(Gear!W10=0,"Lengkap",Gear!W10&amp;" item kurang (Acc "&amp;Gear!U10&amp;" / Gear "&amp;Gear!V10&amp;")"))</f>
        <v>14 item kurang (Acc 6 / Gear 8)</v>
      </c>
      <c r="O19" s="54" t="str">
        <f t="shared" si="2"/>
        <v>Main urutan 4</v>
      </c>
      <c r="P19" s="59"/>
      <c r="R19" s="59"/>
      <c r="S19" s="59"/>
      <c r="T19" s="59"/>
      <c r="U19" s="59"/>
      <c r="V19" s="59"/>
      <c r="W19" s="59"/>
      <c r="X19" s="59"/>
      <c r="Y19" s="59"/>
      <c r="Z19" s="59"/>
    </row>
    <row r="20" ht="28.5" customHeight="1">
      <c r="A20" s="47" t="s">
        <v>175</v>
      </c>
      <c r="B20" s="48">
        <v>1604.0</v>
      </c>
      <c r="C20" s="49">
        <v>1559.0</v>
      </c>
      <c r="D20" s="51">
        <f t="shared" si="1"/>
        <v>45</v>
      </c>
      <c r="E20" s="60" t="s">
        <v>159</v>
      </c>
      <c r="F20" s="54" t="str">
        <f>IF(A20="","",Hitung!Y22)</f>
        <v>S1</v>
      </c>
      <c r="G20" s="55">
        <f>IF(A20="","",Hitung!Z22)</f>
        <v>300000</v>
      </c>
      <c r="H20" s="54">
        <f>IF(A20="","",IF(Hitung!AA22&lt;0,"-",Hitung!AB22))</f>
        <v>5</v>
      </c>
      <c r="I20" s="54" t="str">
        <f>IF(A20="","",IF(Hitung!AL22=0,"-",Hitung!AM22&amp;" ("&amp;FIXED(Hitung!AN22,0)&amp;")"))</f>
        <v>T3 (2,100)</v>
      </c>
      <c r="J20" s="58">
        <f>IF(OR(A20="",Hitung!AL22=0),"",Hitung!AO22)</f>
        <v>496</v>
      </c>
      <c r="K20" s="55">
        <f>IF(OR(A20="",Hitung!AL22=0),"",Hitung!AQ22)</f>
        <v>3540000</v>
      </c>
      <c r="L20" s="58">
        <f>IF(OR(A20="",Hitung!AL22=0),"",Hitung!AK22)</f>
        <v>7137.096774</v>
      </c>
      <c r="M20" s="54">
        <f>IF(A20="","",IF(Hitung!AR22&lt;0,"-",Hitung!AS22))</f>
        <v>2</v>
      </c>
      <c r="N20" s="54" t="str">
        <f>IF(A20="","",IF(Gear!W11=0,"Lengkap",Gear!W11&amp;" item kurang (Acc "&amp;Gear!U11&amp;" / Gear "&amp;Gear!V11&amp;")"))</f>
        <v>14 item kurang (Acc 6 / Gear 8)</v>
      </c>
      <c r="O20" s="54" t="str">
        <f t="shared" si="2"/>
        <v>Main urutan 5</v>
      </c>
      <c r="P20" s="59"/>
      <c r="R20" s="59"/>
      <c r="S20" s="59"/>
      <c r="T20" s="59"/>
      <c r="U20" s="59"/>
      <c r="V20" s="59"/>
      <c r="W20" s="59"/>
      <c r="X20" s="59"/>
      <c r="Y20" s="59"/>
      <c r="Z20" s="59"/>
    </row>
    <row r="21" ht="28.5" customHeight="1">
      <c r="A21" s="47" t="s">
        <v>176</v>
      </c>
      <c r="B21" s="48">
        <v>1595.0</v>
      </c>
      <c r="C21" s="49">
        <v>1575.0</v>
      </c>
      <c r="D21" s="51">
        <f t="shared" si="1"/>
        <v>20</v>
      </c>
      <c r="E21" s="60" t="s">
        <v>159</v>
      </c>
      <c r="F21" s="54" t="str">
        <f>IF(A21="","",Hitung!Y23)</f>
        <v>T2</v>
      </c>
      <c r="G21" s="55">
        <f>IF(A21="","",Hitung!Z23)</f>
        <v>300000</v>
      </c>
      <c r="H21" s="54">
        <f>IF(A21="","",IF(Hitung!AA23&lt;0,"-",Hitung!AB23))</f>
        <v>6</v>
      </c>
      <c r="I21" s="54" t="str">
        <f>IF(A21="","",IF(Hitung!AL23=0,"-",Hitung!AM23&amp;" ("&amp;FIXED(Hitung!AN23,0)&amp;")"))</f>
        <v>T3 (2,100)</v>
      </c>
      <c r="J21" s="58">
        <f>IF(OR(A21="",Hitung!AL23=0),"",Hitung!AO23)</f>
        <v>505</v>
      </c>
      <c r="K21" s="55">
        <f>IF(OR(A21="",Hitung!AL23=0),"",Hitung!AQ23)</f>
        <v>2100000</v>
      </c>
      <c r="L21" s="58">
        <f>IF(OR(A21="",Hitung!AL23=0),"",Hitung!AK23)</f>
        <v>4158.415842</v>
      </c>
      <c r="M21" s="54">
        <f>IF(A21="","",IF(Hitung!AR23&lt;0,"-",Hitung!AS23))</f>
        <v>4</v>
      </c>
      <c r="N21" s="54" t="str">
        <f>IF(A21="","",IF(Gear!W12=0,"Lengkap",Gear!W12&amp;" item kurang (Acc "&amp;Gear!U12&amp;" / Gear "&amp;Gear!V12&amp;")"))</f>
        <v>14 item kurang (Acc 6 / Gear 8)</v>
      </c>
      <c r="O21" s="54" t="str">
        <f t="shared" si="2"/>
        <v>Main urutan 6</v>
      </c>
      <c r="P21" s="59"/>
      <c r="R21" s="59"/>
      <c r="S21" s="59"/>
      <c r="T21" s="59"/>
      <c r="U21" s="59"/>
      <c r="V21" s="59"/>
      <c r="W21" s="59"/>
      <c r="X21" s="59"/>
      <c r="Y21" s="59"/>
      <c r="Z21" s="59"/>
    </row>
    <row r="22" ht="28.5" customHeight="1">
      <c r="A22" s="47" t="s">
        <v>177</v>
      </c>
      <c r="B22" s="48">
        <v>1558.0</v>
      </c>
      <c r="C22" s="49">
        <v>1529.0</v>
      </c>
      <c r="D22" s="51">
        <f t="shared" si="1"/>
        <v>29</v>
      </c>
      <c r="E22" s="60" t="s">
        <v>159</v>
      </c>
      <c r="F22" s="54" t="str">
        <f>IF(A22="","",Hitung!Y24)</f>
        <v>T2</v>
      </c>
      <c r="G22" s="55">
        <f>IF(A22="","",Hitung!Z24)</f>
        <v>300000</v>
      </c>
      <c r="H22" s="54">
        <f>IF(A22="","",IF(Hitung!AA24&lt;0,"-",Hitung!AB24))</f>
        <v>7</v>
      </c>
      <c r="I22" s="54" t="str">
        <f>IF(A22="","",IF(Hitung!AL24=0,"-",Hitung!AM24&amp;" ("&amp;FIXED(Hitung!AN24,0)&amp;")"))</f>
        <v>T3 (2,100)</v>
      </c>
      <c r="J22" s="58">
        <f>IF(OR(A22="",Hitung!AL24=0),"",Hitung!AO24)</f>
        <v>542</v>
      </c>
      <c r="K22" s="55">
        <f>IF(OR(A22="",Hitung!AL24=0),"",Hitung!AQ24)</f>
        <v>2100000</v>
      </c>
      <c r="L22" s="58">
        <f>IF(OR(A22="",Hitung!AL24=0),"",Hitung!AK24)</f>
        <v>3874.538745</v>
      </c>
      <c r="M22" s="54">
        <f>IF(A22="","",IF(Hitung!AR24&lt;0,"-",Hitung!AS24))</f>
        <v>6</v>
      </c>
      <c r="N22" s="54" t="str">
        <f>IF(A22="","",IF(Gear!W13=0,"Lengkap",Gear!W13&amp;" item kurang (Acc "&amp;Gear!U13&amp;" / Gear "&amp;Gear!V13&amp;")"))</f>
        <v>14 item kurang (Acc 6 / Gear 8)</v>
      </c>
      <c r="O22" s="54" t="str">
        <f t="shared" si="2"/>
        <v>Main urutan 7</v>
      </c>
      <c r="P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61" t="s">
        <v>178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C25" s="8"/>
      <c r="D25" s="8"/>
      <c r="E25" s="8"/>
      <c r="F25" s="62" t="s">
        <v>179</v>
      </c>
      <c r="G25" s="63"/>
      <c r="H25" s="63"/>
      <c r="I25" s="63"/>
      <c r="J25" s="63"/>
      <c r="K25" s="63"/>
      <c r="L25" s="64"/>
      <c r="M25" s="65">
        <f>Setting!E52</f>
        <v>208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C26" s="8"/>
      <c r="D26" s="8"/>
      <c r="E26" s="8"/>
      <c r="F26" s="62" t="s">
        <v>180</v>
      </c>
      <c r="G26" s="63"/>
      <c r="H26" s="63"/>
      <c r="I26" s="63"/>
      <c r="J26" s="63"/>
      <c r="K26" s="63"/>
      <c r="L26" s="64"/>
      <c r="M26" s="65">
        <f>B5+B6</f>
        <v>55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C27" s="8"/>
      <c r="D27" s="8"/>
      <c r="E27" s="8"/>
      <c r="F27" s="62" t="s">
        <v>181</v>
      </c>
      <c r="G27" s="63"/>
      <c r="H27" s="63"/>
      <c r="I27" s="63"/>
      <c r="J27" s="63"/>
      <c r="K27" s="63"/>
      <c r="L27" s="64"/>
      <c r="M27" s="65">
        <f>MAX(0,M25-M26)</f>
        <v>153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C28" s="8"/>
      <c r="D28" s="8"/>
      <c r="E28" s="8"/>
      <c r="F28" s="62" t="s">
        <v>182</v>
      </c>
      <c r="G28" s="63"/>
      <c r="H28" s="63"/>
      <c r="I28" s="63"/>
      <c r="J28" s="63"/>
      <c r="K28" s="63"/>
      <c r="L28" s="64"/>
      <c r="M28" s="66">
        <f>Hitung!AP13</f>
        <v>17400000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C29" s="8"/>
      <c r="D29" s="8"/>
      <c r="E29" s="8"/>
      <c r="F29" s="67" t="s">
        <v>183</v>
      </c>
      <c r="G29" s="63"/>
      <c r="H29" s="63"/>
      <c r="I29" s="63"/>
      <c r="J29" s="63"/>
      <c r="K29" s="63"/>
      <c r="L29" s="64"/>
      <c r="M29" s="68">
        <f>Hitung!AO13-Hitung!AP13</f>
        <v>48300000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C30" s="8"/>
      <c r="D30" s="8"/>
      <c r="E30" s="8"/>
      <c r="F30" s="67" t="s">
        <v>184</v>
      </c>
      <c r="G30" s="63"/>
      <c r="H30" s="63"/>
      <c r="I30" s="63"/>
      <c r="J30" s="63"/>
      <c r="K30" s="63"/>
      <c r="L30" s="64"/>
      <c r="M30" s="68">
        <f>Hitung!AO13</f>
        <v>65700000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C31" s="8"/>
      <c r="D31" s="8"/>
      <c r="E31" s="8"/>
      <c r="F31" s="62" t="s">
        <v>185</v>
      </c>
      <c r="G31" s="63"/>
      <c r="H31" s="63"/>
      <c r="I31" s="63"/>
      <c r="J31" s="63"/>
      <c r="K31" s="63"/>
      <c r="L31" s="64"/>
      <c r="M31" s="66">
        <f>Setting!H52</f>
        <v>3000000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C32" s="8"/>
      <c r="D32" s="8"/>
      <c r="E32" s="8"/>
      <c r="F32" s="67" t="s">
        <v>186</v>
      </c>
      <c r="G32" s="63"/>
      <c r="H32" s="63"/>
      <c r="I32" s="63"/>
      <c r="J32" s="63"/>
      <c r="K32" s="63"/>
      <c r="L32" s="64"/>
      <c r="M32" s="68">
        <f>M30-M31</f>
        <v>62700000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61" t="s">
        <v>187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1.5" customHeight="1">
      <c r="F35" s="45" t="s">
        <v>16</v>
      </c>
      <c r="G35" s="45" t="s">
        <v>17</v>
      </c>
      <c r="H35" s="45" t="s">
        <v>188</v>
      </c>
      <c r="I35" s="69" t="s">
        <v>189</v>
      </c>
      <c r="J35" s="63"/>
      <c r="K35" s="64"/>
      <c r="L35" s="69" t="s">
        <v>190</v>
      </c>
      <c r="M35" s="64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F36" s="70" t="str">
        <f>IF(Hitung!B5="","",Hitung!B5)</f>
        <v>T2</v>
      </c>
      <c r="G36" s="70" t="str">
        <f>IF(F36="","",Hitung!C5)</f>
        <v>Conquest</v>
      </c>
      <c r="H36" s="31">
        <f>IF(F36="","",Hitung!M5)</f>
        <v>105</v>
      </c>
      <c r="I36" s="71">
        <f>IF(F36="","",Hitung!AO5)</f>
        <v>30240000</v>
      </c>
      <c r="J36" s="63"/>
      <c r="K36" s="64"/>
      <c r="L36" s="71">
        <f t="shared" ref="L36:L43" si="3">IF(OR(F36="",N(H36)=0),"",I36/H36)</f>
        <v>288000</v>
      </c>
      <c r="M36" s="64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F37" s="70" t="str">
        <f>IF(Hitung!B6="","",Hitung!B6)</f>
        <v>T3</v>
      </c>
      <c r="G37" s="70" t="str">
        <f>IF(F37="","",Hitung!C6)</f>
        <v>Conquest</v>
      </c>
      <c r="H37" s="31">
        <f>IF(F37="","",Hitung!M6)</f>
        <v>0</v>
      </c>
      <c r="I37" s="71">
        <f>IF(F37="","",Hitung!AO6)</f>
        <v>0</v>
      </c>
      <c r="J37" s="63"/>
      <c r="K37" s="64"/>
      <c r="L37" s="71" t="str">
        <f t="shared" si="3"/>
        <v/>
      </c>
      <c r="M37" s="64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F38" s="70" t="str">
        <f>IF(Hitung!B7="","",Hitung!B7)</f>
        <v>S1</v>
      </c>
      <c r="G38" s="70" t="str">
        <f>IF(F38="","",Hitung!C7)</f>
        <v>Transcend</v>
      </c>
      <c r="H38" s="31">
        <f>IF(F38="","",Hitung!M7)</f>
        <v>42</v>
      </c>
      <c r="I38" s="71">
        <f>IF(F38="","",Hitung!AO7)</f>
        <v>6660000</v>
      </c>
      <c r="J38" s="63"/>
      <c r="K38" s="64"/>
      <c r="L38" s="71">
        <f t="shared" si="3"/>
        <v>158571.4286</v>
      </c>
      <c r="M38" s="64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F39" s="70" t="str">
        <f>IF(Hitung!B8="","",Hitung!B8)</f>
        <v>S2</v>
      </c>
      <c r="G39" s="70" t="str">
        <f>IF(F39="","",Hitung!C8)</f>
        <v>Transcend</v>
      </c>
      <c r="H39" s="31">
        <f>IF(F39="","",Hitung!M8)</f>
        <v>0</v>
      </c>
      <c r="I39" s="71">
        <f>IF(F39="","",Hitung!AO8)</f>
        <v>0</v>
      </c>
      <c r="J39" s="63"/>
      <c r="K39" s="64"/>
      <c r="L39" s="71" t="str">
        <f t="shared" si="3"/>
        <v/>
      </c>
      <c r="M39" s="64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F40" s="70" t="str">
        <f>IF(Hitung!B9="","",Hitung!B9)</f>
        <v>S3</v>
      </c>
      <c r="G40" s="70" t="str">
        <f>IF(F40="","",Hitung!C9)</f>
        <v>Transcend</v>
      </c>
      <c r="H40" s="31">
        <f>IF(F40="","",Hitung!M9)</f>
        <v>0</v>
      </c>
      <c r="I40" s="71">
        <f>IF(F40="","",Hitung!AO9)</f>
        <v>0</v>
      </c>
      <c r="J40" s="63"/>
      <c r="K40" s="64"/>
      <c r="L40" s="71" t="str">
        <f t="shared" si="3"/>
        <v/>
      </c>
      <c r="M40" s="64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F41" s="70" t="str">
        <f>IF(Hitung!B10="","",Hitung!B10)</f>
        <v>S4</v>
      </c>
      <c r="G41" s="70" t="str">
        <f>IF(F41="","",Hitung!C10)</f>
        <v>Transcend</v>
      </c>
      <c r="H41" s="31">
        <f>IF(F41="","",Hitung!M10)</f>
        <v>61</v>
      </c>
      <c r="I41" s="71">
        <f>IF(F41="","",Hitung!AO10)</f>
        <v>28800000</v>
      </c>
      <c r="J41" s="63"/>
      <c r="K41" s="64"/>
      <c r="L41" s="71">
        <f t="shared" si="3"/>
        <v>472131.1475</v>
      </c>
      <c r="M41" s="64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F42" s="70" t="str">
        <f>IF(Hitung!B11="","",Hitung!B11)</f>
        <v/>
      </c>
      <c r="G42" s="70" t="str">
        <f>IF(F42="","",Hitung!C11)</f>
        <v/>
      </c>
      <c r="H42" s="31" t="str">
        <f>IF(F42="","",Hitung!M11)</f>
        <v/>
      </c>
      <c r="I42" s="71" t="str">
        <f>IF(F42="","",Hitung!AO11)</f>
        <v/>
      </c>
      <c r="J42" s="63"/>
      <c r="K42" s="64"/>
      <c r="L42" s="71" t="str">
        <f t="shared" si="3"/>
        <v/>
      </c>
      <c r="M42" s="64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F43" s="70" t="str">
        <f>IF(Hitung!B12="","",Hitung!B12)</f>
        <v/>
      </c>
      <c r="G43" s="70" t="str">
        <f>IF(F43="","",Hitung!C12)</f>
        <v/>
      </c>
      <c r="H43" s="31" t="str">
        <f>IF(F43="","",Hitung!M12)</f>
        <v/>
      </c>
      <c r="I43" s="71" t="str">
        <f>IF(F43="","",Hitung!AO12)</f>
        <v/>
      </c>
      <c r="J43" s="63"/>
      <c r="K43" s="64"/>
      <c r="L43" s="71" t="str">
        <f t="shared" si="3"/>
        <v/>
      </c>
      <c r="M43" s="64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F44" s="8"/>
      <c r="G44" s="8"/>
      <c r="H44" s="8"/>
      <c r="I44" s="8"/>
      <c r="J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72" t="s">
        <v>191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9" t="s">
        <v>192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9" t="s">
        <v>193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9" t="s">
        <v>194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9" t="s">
        <v>195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9" t="s">
        <v>196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9" t="s">
        <v>197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9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2">
    <mergeCell ref="A1:O1"/>
    <mergeCell ref="A9:O9"/>
    <mergeCell ref="A10:O10"/>
    <mergeCell ref="A11:O11"/>
    <mergeCell ref="A24:O24"/>
    <mergeCell ref="F25:L25"/>
    <mergeCell ref="F26:L26"/>
    <mergeCell ref="F27:L27"/>
    <mergeCell ref="F28:L28"/>
    <mergeCell ref="F29:L29"/>
    <mergeCell ref="F30:L30"/>
    <mergeCell ref="F31:L31"/>
    <mergeCell ref="F32:L32"/>
    <mergeCell ref="A34:O34"/>
    <mergeCell ref="I35:K35"/>
    <mergeCell ref="L35:M35"/>
    <mergeCell ref="I36:K36"/>
    <mergeCell ref="L36:M36"/>
    <mergeCell ref="I37:K37"/>
    <mergeCell ref="L37:M37"/>
    <mergeCell ref="L38:M38"/>
    <mergeCell ref="I42:K42"/>
    <mergeCell ref="L42:M42"/>
    <mergeCell ref="I43:K43"/>
    <mergeCell ref="L43:M43"/>
    <mergeCell ref="I38:K38"/>
    <mergeCell ref="I39:K39"/>
    <mergeCell ref="L39:M39"/>
    <mergeCell ref="I40:K40"/>
    <mergeCell ref="L40:M40"/>
    <mergeCell ref="I41:K41"/>
    <mergeCell ref="L41:M41"/>
  </mergeCells>
  <conditionalFormatting sqref="E15:E22">
    <cfRule type="cellIs" dxfId="5" priority="1" operator="equal">
      <formula>"Tersedia"</formula>
    </cfRule>
  </conditionalFormatting>
  <conditionalFormatting sqref="E15:E22">
    <cfRule type="cellIs" dxfId="6" priority="2" operator="equal">
      <formula>"Habis"</formula>
    </cfRule>
  </conditionalFormatting>
  <conditionalFormatting sqref="H15:H22">
    <cfRule type="cellIs" dxfId="5" priority="3" operator="equal">
      <formula>1</formula>
    </cfRule>
  </conditionalFormatting>
  <conditionalFormatting sqref="M15:M22">
    <cfRule type="cellIs" dxfId="7" priority="4" operator="equal">
      <formula>1</formula>
    </cfRule>
  </conditionalFormatting>
  <conditionalFormatting sqref="N15:N22">
    <cfRule type="expression" dxfId="5" priority="5">
      <formula>$N15="Lengkap"</formula>
    </cfRule>
  </conditionalFormatting>
  <dataValidations>
    <dataValidation type="list" allowBlank="1" showInputMessage="1" showErrorMessage="1" prompt="Odyle - Pilih Tersedia atau Habis" sqref="E15:E22">
      <formula1>"Tersedia,Habis"</formula1>
    </dataValidation>
    <dataValidation type="decimal" operator="greaterThanOrEqual" allowBlank="1" sqref="B5:B6 B15:B22">
      <formula1>0.0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 fitToPage="1"/>
  </sheetPr>
  <sheetViews>
    <sheetView workbookViewId="0">
      <pane ySplit="26.0" topLeftCell="A27" activePane="bottomLeft" state="frozen"/>
      <selection activeCell="B28" sqref="B28" pane="bottomLeft"/>
    </sheetView>
  </sheetViews>
  <sheetFormatPr customHeight="1" defaultColWidth="14.43" defaultRowHeight="15.0"/>
  <cols>
    <col customWidth="1" min="1" max="1" width="14.0"/>
    <col customWidth="1" min="2" max="2" width="7.43"/>
    <col customWidth="1" min="3" max="3" width="19.14"/>
    <col customWidth="1" min="4" max="4" width="14.14"/>
    <col customWidth="1" min="5" max="5" width="14.86"/>
    <col customWidth="1" min="6" max="6" width="15.0"/>
    <col customWidth="1" min="7" max="7" width="14.57"/>
    <col customWidth="1" min="8" max="8" width="16.0"/>
    <col customWidth="1" min="9" max="9" width="16.14"/>
    <col customWidth="1" min="10" max="10" width="21.0"/>
    <col customWidth="1" min="11" max="18" width="11.0"/>
    <col customWidth="1" min="19" max="19" width="14.29"/>
    <col customWidth="1" min="20" max="20" width="14.71"/>
    <col customWidth="1" min="21" max="22" width="16.71"/>
    <col customWidth="1" min="23" max="23" width="16.43"/>
    <col customWidth="1" min="24" max="26" width="8.71"/>
  </cols>
  <sheetData>
    <row r="1">
      <c r="A1" s="1" t="s">
        <v>29</v>
      </c>
    </row>
    <row r="2">
      <c r="A2" s="2" t="s">
        <v>34</v>
      </c>
    </row>
    <row r="3">
      <c r="C3" s="11" t="s">
        <v>38</v>
      </c>
      <c r="J3" s="11" t="s">
        <v>44</v>
      </c>
    </row>
    <row r="4" ht="31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ht="31.5" customHeight="1">
      <c r="A5" s="18" t="s">
        <v>73</v>
      </c>
      <c r="B5" s="18" t="s">
        <v>81</v>
      </c>
      <c r="C5" s="18" t="s">
        <v>82</v>
      </c>
      <c r="D5" s="18" t="s">
        <v>83</v>
      </c>
      <c r="E5" s="18" t="s">
        <v>85</v>
      </c>
      <c r="F5" s="18" t="s">
        <v>87</v>
      </c>
      <c r="G5" s="18" t="s">
        <v>90</v>
      </c>
      <c r="H5" s="18" t="s">
        <v>94</v>
      </c>
      <c r="I5" s="18" t="s">
        <v>96</v>
      </c>
      <c r="J5" s="18" t="s">
        <v>99</v>
      </c>
      <c r="K5" s="18" t="s">
        <v>102</v>
      </c>
      <c r="L5" s="18" t="s">
        <v>104</v>
      </c>
      <c r="M5" s="18" t="s">
        <v>105</v>
      </c>
      <c r="N5" s="18" t="s">
        <v>106</v>
      </c>
      <c r="O5" s="18" t="s">
        <v>108</v>
      </c>
      <c r="P5" s="18" t="s">
        <v>110</v>
      </c>
      <c r="Q5" s="18" t="s">
        <v>115</v>
      </c>
      <c r="R5" s="18" t="s">
        <v>116</v>
      </c>
      <c r="S5" s="18" t="s">
        <v>117</v>
      </c>
      <c r="T5" s="23" t="s">
        <v>118</v>
      </c>
      <c r="U5" s="18" t="s">
        <v>119</v>
      </c>
      <c r="V5" s="18" t="s">
        <v>120</v>
      </c>
      <c r="W5" s="18" t="s">
        <v>121</v>
      </c>
    </row>
    <row r="6" ht="22.5" customHeight="1">
      <c r="A6" s="27" t="str">
        <f>IF(Dashboard!A15="","",Dashboard!A15)</f>
        <v>ChromeT</v>
      </c>
      <c r="B6" s="28" t="s">
        <v>123</v>
      </c>
      <c r="C6" s="29" t="s">
        <v>124</v>
      </c>
      <c r="D6" s="30" t="b">
        <v>1</v>
      </c>
      <c r="E6" s="30" t="b">
        <v>1</v>
      </c>
      <c r="F6" s="30" t="b">
        <v>1</v>
      </c>
      <c r="G6" s="30" t="b">
        <v>0</v>
      </c>
      <c r="H6" s="30" t="b">
        <v>1</v>
      </c>
      <c r="I6" s="30" t="b">
        <v>1</v>
      </c>
      <c r="J6" s="29" t="s">
        <v>135</v>
      </c>
      <c r="K6" s="33" t="b">
        <v>0</v>
      </c>
      <c r="L6" s="30" t="b">
        <v>1</v>
      </c>
      <c r="M6" s="33" t="b">
        <v>0</v>
      </c>
      <c r="N6" s="30" t="b">
        <v>1</v>
      </c>
      <c r="O6" s="30" t="b">
        <v>0</v>
      </c>
      <c r="P6" s="30" t="b">
        <v>1</v>
      </c>
      <c r="Q6" s="30" t="b">
        <v>1</v>
      </c>
      <c r="R6" s="30" t="b">
        <v>1</v>
      </c>
      <c r="S6" s="35">
        <v>4.0</v>
      </c>
      <c r="T6" s="35">
        <v>4.0</v>
      </c>
      <c r="U6" s="37">
        <f t="shared" ref="U6:U13" si="1">6-COUNTIF(D6:I6,"TRUE")</f>
        <v>1</v>
      </c>
      <c r="V6" s="37">
        <f t="shared" ref="V6:V13" si="2">8-COUNTIF(K6:R6,"TRUE")</f>
        <v>3</v>
      </c>
      <c r="W6" s="38">
        <f t="shared" ref="W6:W13" si="3">U6+V6</f>
        <v>4</v>
      </c>
    </row>
    <row r="7" ht="22.5" customHeight="1">
      <c r="A7" s="27" t="str">
        <f>IF(Dashboard!A16="","",Dashboard!A16)</f>
        <v>Roxarika</v>
      </c>
      <c r="B7" s="28" t="s">
        <v>123</v>
      </c>
      <c r="C7" s="29" t="s">
        <v>137</v>
      </c>
      <c r="D7" s="30" t="b">
        <v>0</v>
      </c>
      <c r="E7" s="30" t="b">
        <v>0</v>
      </c>
      <c r="F7" s="30" t="b">
        <v>0</v>
      </c>
      <c r="G7" s="30" t="b">
        <v>0</v>
      </c>
      <c r="H7" s="30" t="b">
        <v>0</v>
      </c>
      <c r="I7" s="30" t="b">
        <v>0</v>
      </c>
      <c r="J7" s="29" t="s">
        <v>138</v>
      </c>
      <c r="K7" s="33" t="b">
        <v>0</v>
      </c>
      <c r="L7" s="30" t="b">
        <v>0</v>
      </c>
      <c r="M7" s="33" t="b">
        <v>0</v>
      </c>
      <c r="N7" s="33" t="b">
        <v>0</v>
      </c>
      <c r="O7" s="30" t="b">
        <v>0</v>
      </c>
      <c r="P7" s="33" t="b">
        <v>0</v>
      </c>
      <c r="Q7" s="30" t="b">
        <v>0</v>
      </c>
      <c r="R7" s="30" t="b">
        <v>0</v>
      </c>
      <c r="S7" s="35">
        <v>4.0</v>
      </c>
      <c r="T7" s="35">
        <v>4.0</v>
      </c>
      <c r="U7" s="37">
        <f t="shared" si="1"/>
        <v>6</v>
      </c>
      <c r="V7" s="37">
        <f t="shared" si="2"/>
        <v>8</v>
      </c>
      <c r="W7" s="38">
        <f t="shared" si="3"/>
        <v>14</v>
      </c>
    </row>
    <row r="8" ht="22.5" customHeight="1">
      <c r="A8" s="27" t="str">
        <f>IF(Dashboard!A17="","",Dashboard!A17)</f>
        <v>Crosley</v>
      </c>
      <c r="B8" s="28" t="s">
        <v>123</v>
      </c>
      <c r="C8" s="29" t="s">
        <v>137</v>
      </c>
      <c r="D8" s="30" t="b">
        <v>0</v>
      </c>
      <c r="E8" s="30" t="b">
        <v>0</v>
      </c>
      <c r="F8" s="30" t="b">
        <v>0</v>
      </c>
      <c r="G8" s="30" t="b">
        <v>0</v>
      </c>
      <c r="H8" s="30" t="b">
        <v>0</v>
      </c>
      <c r="I8" s="30" t="b">
        <v>0</v>
      </c>
      <c r="J8" s="29" t="s">
        <v>138</v>
      </c>
      <c r="K8" s="33" t="b">
        <v>0</v>
      </c>
      <c r="L8" s="30" t="b">
        <v>0</v>
      </c>
      <c r="M8" s="33" t="b">
        <v>0</v>
      </c>
      <c r="N8" s="33" t="b">
        <v>0</v>
      </c>
      <c r="O8" s="30" t="b">
        <v>0</v>
      </c>
      <c r="P8" s="33" t="b">
        <v>0</v>
      </c>
      <c r="Q8" s="30" t="b">
        <v>0</v>
      </c>
      <c r="R8" s="30" t="b">
        <v>0</v>
      </c>
      <c r="S8" s="35">
        <v>4.0</v>
      </c>
      <c r="T8" s="35">
        <v>4.0</v>
      </c>
      <c r="U8" s="37">
        <f t="shared" si="1"/>
        <v>6</v>
      </c>
      <c r="V8" s="37">
        <f t="shared" si="2"/>
        <v>8</v>
      </c>
      <c r="W8" s="38">
        <f t="shared" si="3"/>
        <v>14</v>
      </c>
    </row>
    <row r="9" ht="22.5" customHeight="1">
      <c r="A9" s="27" t="str">
        <f>IF(Dashboard!A18="","",Dashboard!A18)</f>
        <v>Nathanael</v>
      </c>
      <c r="B9" s="28" t="s">
        <v>123</v>
      </c>
      <c r="C9" s="57" t="s">
        <v>137</v>
      </c>
      <c r="D9" s="30" t="b">
        <v>0</v>
      </c>
      <c r="E9" s="30" t="b">
        <v>0</v>
      </c>
      <c r="F9" s="30" t="b">
        <v>0</v>
      </c>
      <c r="G9" s="30" t="b">
        <v>0</v>
      </c>
      <c r="H9" s="30" t="b">
        <v>0</v>
      </c>
      <c r="I9" s="30" t="b">
        <v>0</v>
      </c>
      <c r="J9" s="57" t="s">
        <v>138</v>
      </c>
      <c r="K9" s="33" t="b">
        <v>0</v>
      </c>
      <c r="L9" s="30" t="b">
        <v>0</v>
      </c>
      <c r="M9" s="33" t="b">
        <v>0</v>
      </c>
      <c r="N9" s="33" t="b">
        <v>0</v>
      </c>
      <c r="O9" s="30" t="b">
        <v>0</v>
      </c>
      <c r="P9" s="33" t="b">
        <v>0</v>
      </c>
      <c r="Q9" s="30" t="b">
        <v>0</v>
      </c>
      <c r="R9" s="30" t="b">
        <v>0</v>
      </c>
      <c r="S9" s="35">
        <v>4.0</v>
      </c>
      <c r="T9" s="35">
        <v>4.0</v>
      </c>
      <c r="U9" s="37">
        <f t="shared" si="1"/>
        <v>6</v>
      </c>
      <c r="V9" s="37">
        <f t="shared" si="2"/>
        <v>8</v>
      </c>
      <c r="W9" s="38">
        <f t="shared" si="3"/>
        <v>14</v>
      </c>
    </row>
    <row r="10" ht="22.5" customHeight="1">
      <c r="A10" s="27" t="str">
        <f>IF(Dashboard!A19="","",Dashboard!A19)</f>
        <v>Cicero</v>
      </c>
      <c r="B10" s="28" t="s">
        <v>123</v>
      </c>
      <c r="C10" s="29" t="s">
        <v>137</v>
      </c>
      <c r="D10" s="30" t="b">
        <v>0</v>
      </c>
      <c r="E10" s="30" t="b">
        <v>0</v>
      </c>
      <c r="F10" s="30" t="b">
        <v>0</v>
      </c>
      <c r="G10" s="30" t="b">
        <v>0</v>
      </c>
      <c r="H10" s="30" t="b">
        <v>0</v>
      </c>
      <c r="I10" s="30" t="b">
        <v>0</v>
      </c>
      <c r="J10" s="29" t="s">
        <v>138</v>
      </c>
      <c r="K10" s="33" t="b">
        <v>0</v>
      </c>
      <c r="L10" s="30" t="b">
        <v>0</v>
      </c>
      <c r="M10" s="33" t="b">
        <v>0</v>
      </c>
      <c r="N10" s="33" t="b">
        <v>0</v>
      </c>
      <c r="O10" s="30" t="b">
        <v>0</v>
      </c>
      <c r="P10" s="33" t="b">
        <v>0</v>
      </c>
      <c r="Q10" s="30" t="b">
        <v>0</v>
      </c>
      <c r="R10" s="30" t="b">
        <v>0</v>
      </c>
      <c r="S10" s="35">
        <v>4.0</v>
      </c>
      <c r="T10" s="35">
        <v>4.0</v>
      </c>
      <c r="U10" s="37">
        <f t="shared" si="1"/>
        <v>6</v>
      </c>
      <c r="V10" s="37">
        <f t="shared" si="2"/>
        <v>8</v>
      </c>
      <c r="W10" s="38">
        <f t="shared" si="3"/>
        <v>14</v>
      </c>
    </row>
    <row r="11" ht="22.5" customHeight="1">
      <c r="A11" s="27" t="str">
        <f>IF(Dashboard!A20="","",Dashboard!A20)</f>
        <v>Seneca</v>
      </c>
      <c r="B11" s="28" t="s">
        <v>123</v>
      </c>
      <c r="C11" s="57" t="s">
        <v>137</v>
      </c>
      <c r="D11" s="30" t="b">
        <v>0</v>
      </c>
      <c r="E11" s="30" t="b">
        <v>0</v>
      </c>
      <c r="F11" s="30" t="b">
        <v>0</v>
      </c>
      <c r="G11" s="30" t="b">
        <v>0</v>
      </c>
      <c r="H11" s="30" t="b">
        <v>0</v>
      </c>
      <c r="I11" s="30" t="b">
        <v>0</v>
      </c>
      <c r="J11" s="29" t="s">
        <v>138</v>
      </c>
      <c r="K11" s="33" t="b">
        <v>0</v>
      </c>
      <c r="L11" s="30" t="b">
        <v>0</v>
      </c>
      <c r="M11" s="33" t="b">
        <v>0</v>
      </c>
      <c r="N11" s="33" t="b">
        <v>0</v>
      </c>
      <c r="O11" s="30" t="b">
        <v>0</v>
      </c>
      <c r="P11" s="33" t="b">
        <v>0</v>
      </c>
      <c r="Q11" s="30" t="b">
        <v>0</v>
      </c>
      <c r="R11" s="30" t="b">
        <v>0</v>
      </c>
      <c r="S11" s="35">
        <v>4.0</v>
      </c>
      <c r="T11" s="35">
        <v>4.0</v>
      </c>
      <c r="U11" s="37">
        <f t="shared" si="1"/>
        <v>6</v>
      </c>
      <c r="V11" s="37">
        <f t="shared" si="2"/>
        <v>8</v>
      </c>
      <c r="W11" s="38">
        <f t="shared" si="3"/>
        <v>14</v>
      </c>
    </row>
    <row r="12" ht="22.5" customHeight="1">
      <c r="A12" s="27" t="str">
        <f>IF(Dashboard!A21="","",Dashboard!A21)</f>
        <v>Averroes</v>
      </c>
      <c r="B12" s="28" t="s">
        <v>123</v>
      </c>
      <c r="C12" s="29" t="s">
        <v>137</v>
      </c>
      <c r="D12" s="30" t="b">
        <v>0</v>
      </c>
      <c r="E12" s="30" t="b">
        <v>0</v>
      </c>
      <c r="F12" s="30" t="b">
        <v>0</v>
      </c>
      <c r="G12" s="30" t="b">
        <v>0</v>
      </c>
      <c r="H12" s="30" t="b">
        <v>0</v>
      </c>
      <c r="I12" s="30" t="b">
        <v>0</v>
      </c>
      <c r="J12" s="29" t="s">
        <v>138</v>
      </c>
      <c r="K12" s="33" t="b">
        <v>0</v>
      </c>
      <c r="L12" s="30" t="b">
        <v>0</v>
      </c>
      <c r="M12" s="33" t="b">
        <v>0</v>
      </c>
      <c r="N12" s="33" t="b">
        <v>0</v>
      </c>
      <c r="O12" s="30" t="b">
        <v>0</v>
      </c>
      <c r="P12" s="33" t="b">
        <v>0</v>
      </c>
      <c r="Q12" s="30" t="b">
        <v>0</v>
      </c>
      <c r="R12" s="30" t="b">
        <v>0</v>
      </c>
      <c r="S12" s="35">
        <v>4.0</v>
      </c>
      <c r="T12" s="35">
        <v>4.0</v>
      </c>
      <c r="U12" s="37">
        <f t="shared" si="1"/>
        <v>6</v>
      </c>
      <c r="V12" s="37">
        <f t="shared" si="2"/>
        <v>8</v>
      </c>
      <c r="W12" s="38">
        <f t="shared" si="3"/>
        <v>14</v>
      </c>
    </row>
    <row r="13" ht="22.5" customHeight="1">
      <c r="A13" s="27" t="str">
        <f>IF(Dashboard!A22="","",Dashboard!A22)</f>
        <v>Claudius</v>
      </c>
      <c r="B13" s="28" t="s">
        <v>123</v>
      </c>
      <c r="C13" s="29" t="s">
        <v>137</v>
      </c>
      <c r="D13" s="30" t="b">
        <v>0</v>
      </c>
      <c r="E13" s="30" t="b">
        <v>0</v>
      </c>
      <c r="F13" s="30" t="b">
        <v>0</v>
      </c>
      <c r="G13" s="30" t="b">
        <v>0</v>
      </c>
      <c r="H13" s="30" t="b">
        <v>0</v>
      </c>
      <c r="I13" s="30" t="b">
        <v>0</v>
      </c>
      <c r="J13" s="29" t="s">
        <v>138</v>
      </c>
      <c r="K13" s="30" t="b">
        <v>0</v>
      </c>
      <c r="L13" s="30" t="b">
        <v>0</v>
      </c>
      <c r="M13" s="33" t="b">
        <v>0</v>
      </c>
      <c r="N13" s="33" t="b">
        <v>0</v>
      </c>
      <c r="O13" s="30" t="b">
        <v>0</v>
      </c>
      <c r="P13" s="33" t="b">
        <v>0</v>
      </c>
      <c r="Q13" s="30" t="b">
        <v>0</v>
      </c>
      <c r="R13" s="30" t="b">
        <v>0</v>
      </c>
      <c r="S13" s="35">
        <v>4.0</v>
      </c>
      <c r="T13" s="35">
        <v>4.0</v>
      </c>
      <c r="U13" s="37">
        <f t="shared" si="1"/>
        <v>6</v>
      </c>
      <c r="V13" s="37">
        <f t="shared" si="2"/>
        <v>8</v>
      </c>
      <c r="W13" s="38">
        <f t="shared" si="3"/>
        <v>14</v>
      </c>
    </row>
    <row r="15">
      <c r="A15" s="2"/>
    </row>
    <row r="16">
      <c r="A16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D6:I13">
    <cfRule type="cellIs" dxfId="5" priority="1" operator="equal">
      <formula>"✔"</formula>
    </cfRule>
  </conditionalFormatting>
  <conditionalFormatting sqref="D6:I13">
    <cfRule type="expression" dxfId="6" priority="2">
      <formula>ISBLANK(D6)</formula>
    </cfRule>
  </conditionalFormatting>
  <conditionalFormatting sqref="D6:I13 K6:R13">
    <cfRule type="cellIs" dxfId="5" priority="3" operator="equal">
      <formula>"✔"</formula>
    </cfRule>
  </conditionalFormatting>
  <conditionalFormatting sqref="D6:I13 K6:R13">
    <cfRule type="expression" dxfId="6" priority="4">
      <formula>ISBLANK(D6)</formula>
    </cfRule>
  </conditionalFormatting>
  <conditionalFormatting sqref="W6:W13">
    <cfRule type="cellIs" dxfId="5" priority="5" operator="equal">
      <formula>0</formula>
    </cfRule>
  </conditionalFormatting>
  <dataValidations>
    <dataValidation type="list" allowBlank="1" sqref="C6:C13">
      <formula1>"Krao Cave,Urugugu,Kromede"</formula1>
    </dataValidation>
    <dataValidation type="list" allowBlank="1" sqref="J6:J13">
      <formula1>"Draupnir,Vakron,Horn Den"</formula1>
    </dataValidation>
    <dataValidation type="custom" allowBlank="1" showDropDown="1" sqref="U6:W13">
      <formula1>AND(ISNUMBER(U6),(NOT(OR(NOT(ISERROR(DATEVALUE(U6))), AND(ISNUMBER(U6), LEFT(CELL("format", U6))="D")))))</formula1>
    </dataValidation>
    <dataValidation type="list" allowBlank="1" sqref="S6:T13">
      <formula1>"1,2,3,4"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6.0"/>
    <col customWidth="1" min="3" max="3" width="22.0"/>
    <col customWidth="1" min="4" max="8" width="18.0"/>
    <col customWidth="1" min="9" max="26" width="8.71"/>
  </cols>
  <sheetData>
    <row r="1">
      <c r="A1" s="1" t="s">
        <v>0</v>
      </c>
    </row>
    <row r="2">
      <c r="A2" s="2" t="s">
        <v>1</v>
      </c>
    </row>
    <row r="4" ht="19.5" customHeight="1">
      <c r="A4" s="3" t="s">
        <v>2</v>
      </c>
      <c r="B4" s="3" t="s">
        <v>3</v>
      </c>
      <c r="C4" s="3" t="s">
        <v>4</v>
      </c>
    </row>
    <row r="5">
      <c r="A5" s="4" t="s">
        <v>5</v>
      </c>
      <c r="B5" s="5">
        <v>40.0</v>
      </c>
      <c r="C5" s="2" t="s">
        <v>6</v>
      </c>
    </row>
    <row r="6">
      <c r="A6" s="4" t="s">
        <v>8</v>
      </c>
      <c r="B6" s="5">
        <v>15.0</v>
      </c>
      <c r="C6" s="2" t="s">
        <v>9</v>
      </c>
    </row>
    <row r="7">
      <c r="A7" s="4" t="s">
        <v>10</v>
      </c>
      <c r="B7" s="6">
        <v>3.0</v>
      </c>
      <c r="C7" s="2" t="s">
        <v>11</v>
      </c>
    </row>
    <row r="8">
      <c r="A8" s="4" t="s">
        <v>13</v>
      </c>
      <c r="B8" s="10">
        <f>B6*(24/B7)*7</f>
        <v>840</v>
      </c>
      <c r="C8" s="2" t="s">
        <v>41</v>
      </c>
    </row>
    <row r="9">
      <c r="A9" s="4" t="s">
        <v>43</v>
      </c>
      <c r="B9" s="5">
        <v>40.0</v>
      </c>
      <c r="C9" s="2" t="s">
        <v>46</v>
      </c>
    </row>
    <row r="10">
      <c r="A10" s="4" t="s">
        <v>48</v>
      </c>
      <c r="B10" s="5">
        <v>50000.0</v>
      </c>
      <c r="C10" s="2" t="s">
        <v>50</v>
      </c>
    </row>
    <row r="11">
      <c r="A11" s="4" t="s">
        <v>52</v>
      </c>
      <c r="B11" s="5">
        <v>0.0</v>
      </c>
      <c r="C11" s="2" t="s">
        <v>53</v>
      </c>
    </row>
    <row r="12">
      <c r="A12" s="4" t="s">
        <v>55</v>
      </c>
      <c r="B12" s="5">
        <v>100000.0</v>
      </c>
      <c r="C12" s="2" t="s">
        <v>50</v>
      </c>
    </row>
    <row r="13">
      <c r="A13" s="4" t="s">
        <v>58</v>
      </c>
      <c r="B13" s="5">
        <v>4.0</v>
      </c>
      <c r="C13" s="2" t="s">
        <v>61</v>
      </c>
    </row>
    <row r="14">
      <c r="A14" s="4" t="s">
        <v>63</v>
      </c>
      <c r="B14" s="5">
        <v>16.0</v>
      </c>
      <c r="C14" s="2" t="s">
        <v>65</v>
      </c>
    </row>
    <row r="15">
      <c r="A15" s="4" t="s">
        <v>67</v>
      </c>
      <c r="B15" s="5">
        <v>20.0</v>
      </c>
      <c r="C15" s="2" t="s">
        <v>68</v>
      </c>
    </row>
    <row r="17">
      <c r="A17" s="11" t="s">
        <v>71</v>
      </c>
    </row>
    <row r="18" ht="19.5" customHeight="1">
      <c r="A18" s="3" t="s">
        <v>15</v>
      </c>
      <c r="B18" s="3" t="s">
        <v>16</v>
      </c>
      <c r="C18" s="3" t="s">
        <v>17</v>
      </c>
      <c r="D18" s="3" t="s">
        <v>76</v>
      </c>
      <c r="E18" s="3" t="s">
        <v>19</v>
      </c>
      <c r="F18" s="3" t="s">
        <v>4</v>
      </c>
    </row>
    <row r="19">
      <c r="A19" s="16">
        <v>1.0</v>
      </c>
      <c r="B19" s="17" t="s">
        <v>80</v>
      </c>
      <c r="C19" s="17" t="s">
        <v>78</v>
      </c>
      <c r="D19" s="19">
        <v>300000.0</v>
      </c>
      <c r="E19" s="5">
        <v>1400.0</v>
      </c>
      <c r="F19" s="2" t="s">
        <v>84</v>
      </c>
    </row>
    <row r="20">
      <c r="A20" s="16">
        <v>2.0</v>
      </c>
      <c r="B20" s="17" t="s">
        <v>86</v>
      </c>
      <c r="C20" s="17" t="s">
        <v>78</v>
      </c>
      <c r="D20" s="19">
        <v>400000.0</v>
      </c>
      <c r="E20" s="5">
        <v>2100.0</v>
      </c>
      <c r="F20" s="2" t="s">
        <v>88</v>
      </c>
    </row>
    <row r="21" ht="15.75" customHeight="1">
      <c r="A21" s="16">
        <v>3.0</v>
      </c>
      <c r="B21" s="17" t="s">
        <v>89</v>
      </c>
      <c r="C21" s="17" t="s">
        <v>91</v>
      </c>
      <c r="D21" s="19">
        <v>300000.0</v>
      </c>
      <c r="E21" s="5">
        <v>1600.0</v>
      </c>
      <c r="F21" s="2" t="s">
        <v>93</v>
      </c>
    </row>
    <row r="22" ht="15.75" customHeight="1">
      <c r="A22" s="16">
        <v>4.0</v>
      </c>
      <c r="B22" s="17" t="s">
        <v>95</v>
      </c>
      <c r="C22" s="17" t="s">
        <v>91</v>
      </c>
      <c r="D22" s="19">
        <v>360000.0</v>
      </c>
      <c r="E22" s="5">
        <v>1900.0</v>
      </c>
      <c r="F22" s="2" t="s">
        <v>97</v>
      </c>
    </row>
    <row r="23" ht="15.75" customHeight="1">
      <c r="A23" s="16">
        <v>5.0</v>
      </c>
      <c r="B23" s="17" t="s">
        <v>98</v>
      </c>
      <c r="C23" s="17" t="s">
        <v>91</v>
      </c>
      <c r="D23" s="19">
        <v>420000.0</v>
      </c>
      <c r="E23" s="5">
        <v>2200.0</v>
      </c>
      <c r="F23" s="2" t="s">
        <v>100</v>
      </c>
    </row>
    <row r="24" ht="15.75" customHeight="1">
      <c r="A24" s="16">
        <v>6.0</v>
      </c>
      <c r="B24" s="17" t="s">
        <v>101</v>
      </c>
      <c r="C24" s="17" t="s">
        <v>91</v>
      </c>
      <c r="D24" s="19">
        <v>480000.0</v>
      </c>
      <c r="E24" s="5">
        <v>2500.0</v>
      </c>
      <c r="F24" s="2" t="s">
        <v>103</v>
      </c>
    </row>
    <row r="25" ht="15.75" customHeight="1">
      <c r="A25" s="16">
        <v>7.0</v>
      </c>
      <c r="B25" s="22"/>
      <c r="C25" s="22"/>
      <c r="D25" s="22"/>
      <c r="E25" s="22"/>
    </row>
    <row r="26" ht="15.75" customHeight="1">
      <c r="A26" s="16">
        <v>8.0</v>
      </c>
      <c r="B26" s="22"/>
      <c r="C26" s="22"/>
      <c r="D26" s="22"/>
      <c r="E26" s="22"/>
    </row>
    <row r="27" ht="15.75" customHeight="1">
      <c r="A27" s="2" t="s">
        <v>107</v>
      </c>
    </row>
    <row r="28" ht="15.75" customHeight="1">
      <c r="A28" s="11" t="s">
        <v>109</v>
      </c>
    </row>
    <row r="29" ht="19.5" customHeight="1">
      <c r="A29" s="3" t="s">
        <v>17</v>
      </c>
      <c r="B29" s="3" t="s">
        <v>111</v>
      </c>
      <c r="C29" s="3" t="s">
        <v>112</v>
      </c>
      <c r="D29" s="3" t="s">
        <v>113</v>
      </c>
      <c r="E29" s="3" t="s">
        <v>114</v>
      </c>
    </row>
    <row r="30" ht="15.75" customHeight="1">
      <c r="A30" s="17" t="s">
        <v>78</v>
      </c>
      <c r="B30" s="16">
        <v>1.0</v>
      </c>
      <c r="C30" s="6">
        <v>0.0</v>
      </c>
      <c r="D30" s="10">
        <f t="shared" ref="D30:D33" si="1">C31-1</f>
        <v>83</v>
      </c>
      <c r="E30" s="24">
        <v>1.0</v>
      </c>
    </row>
    <row r="31" ht="15.75" customHeight="1">
      <c r="A31" s="17" t="s">
        <v>78</v>
      </c>
      <c r="B31" s="16">
        <v>2.0</v>
      </c>
      <c r="C31" s="6">
        <v>84.0</v>
      </c>
      <c r="D31" s="10">
        <f t="shared" si="1"/>
        <v>104</v>
      </c>
      <c r="E31" s="24">
        <v>0.8</v>
      </c>
    </row>
    <row r="32" ht="15.75" customHeight="1">
      <c r="A32" s="17" t="s">
        <v>78</v>
      </c>
      <c r="B32" s="16">
        <v>3.0</v>
      </c>
      <c r="C32" s="6">
        <v>105.0</v>
      </c>
      <c r="D32" s="10">
        <f t="shared" si="1"/>
        <v>125</v>
      </c>
      <c r="E32" s="24">
        <v>0.6</v>
      </c>
    </row>
    <row r="33" ht="15.75" customHeight="1">
      <c r="A33" s="17" t="s">
        <v>78</v>
      </c>
      <c r="B33" s="16">
        <v>4.0</v>
      </c>
      <c r="C33" s="6">
        <v>126.0</v>
      </c>
      <c r="D33" s="10">
        <f t="shared" si="1"/>
        <v>146</v>
      </c>
      <c r="E33" s="24">
        <v>0.4</v>
      </c>
    </row>
    <row r="34" ht="15.75" customHeight="1">
      <c r="A34" s="17" t="s">
        <v>78</v>
      </c>
      <c r="B34" s="16">
        <v>5.0</v>
      </c>
      <c r="C34" s="6">
        <v>147.0</v>
      </c>
      <c r="D34" s="5">
        <v>999999.0</v>
      </c>
      <c r="E34" s="24">
        <v>0.2</v>
      </c>
    </row>
    <row r="35" ht="15.75" customHeight="1">
      <c r="A35" s="17" t="s">
        <v>91</v>
      </c>
      <c r="B35" s="16">
        <v>1.0</v>
      </c>
      <c r="C35" s="6">
        <v>0.0</v>
      </c>
      <c r="D35" s="10">
        <f t="shared" ref="D35:D38" si="2">C36-1</f>
        <v>55</v>
      </c>
      <c r="E35" s="24">
        <v>1.0</v>
      </c>
    </row>
    <row r="36" ht="15.75" customHeight="1">
      <c r="A36" s="17" t="s">
        <v>91</v>
      </c>
      <c r="B36" s="16">
        <v>2.0</v>
      </c>
      <c r="C36" s="6">
        <v>56.0</v>
      </c>
      <c r="D36" s="10">
        <f t="shared" si="2"/>
        <v>69</v>
      </c>
      <c r="E36" s="24">
        <v>0.8</v>
      </c>
    </row>
    <row r="37" ht="15.75" customHeight="1">
      <c r="A37" s="17" t="s">
        <v>91</v>
      </c>
      <c r="B37" s="16">
        <v>3.0</v>
      </c>
      <c r="C37" s="6">
        <v>70.0</v>
      </c>
      <c r="D37" s="10">
        <f t="shared" si="2"/>
        <v>83</v>
      </c>
      <c r="E37" s="24">
        <v>0.6</v>
      </c>
    </row>
    <row r="38" ht="15.75" customHeight="1">
      <c r="A38" s="17" t="s">
        <v>91</v>
      </c>
      <c r="B38" s="16">
        <v>4.0</v>
      </c>
      <c r="C38" s="6">
        <v>84.0</v>
      </c>
      <c r="D38" s="10">
        <f t="shared" si="2"/>
        <v>97</v>
      </c>
      <c r="E38" s="24">
        <v>0.4</v>
      </c>
    </row>
    <row r="39" ht="15.75" customHeight="1">
      <c r="A39" s="17" t="s">
        <v>91</v>
      </c>
      <c r="B39" s="16">
        <v>5.0</v>
      </c>
      <c r="C39" s="6">
        <v>98.0</v>
      </c>
      <c r="D39" s="5">
        <v>999999.0</v>
      </c>
      <c r="E39" s="24">
        <v>0.2</v>
      </c>
    </row>
    <row r="40" ht="15.75" customHeight="1">
      <c r="A40" s="2" t="s">
        <v>125</v>
      </c>
    </row>
    <row r="41" ht="15.75" customHeight="1"/>
    <row r="42" ht="15.75" customHeight="1">
      <c r="A42" s="11" t="s">
        <v>126</v>
      </c>
    </row>
    <row r="43" ht="43.5" customHeight="1">
      <c r="A43" s="3" t="s">
        <v>73</v>
      </c>
      <c r="B43" s="3" t="s">
        <v>127</v>
      </c>
      <c r="C43" s="3" t="s">
        <v>128</v>
      </c>
      <c r="D43" s="3" t="s">
        <v>129</v>
      </c>
      <c r="E43" s="3" t="s">
        <v>130</v>
      </c>
      <c r="F43" s="3" t="s">
        <v>131</v>
      </c>
      <c r="G43" s="3" t="s">
        <v>132</v>
      </c>
      <c r="H43" s="3" t="s">
        <v>133</v>
      </c>
    </row>
    <row r="44" ht="15.75" customHeight="1">
      <c r="A44" s="32" t="str">
        <f>IF(Dashboard!A15="","",Dashboard!A15)</f>
        <v>ChromeT</v>
      </c>
      <c r="B44" s="6">
        <v>4.0</v>
      </c>
      <c r="C44" s="6">
        <v>16.0</v>
      </c>
      <c r="D44" s="6">
        <v>20.0</v>
      </c>
      <c r="E44" s="34">
        <f t="shared" ref="E44:E51" si="3">IF(A44="",0,INT($B$8/$B$5)+(B44+C44+D44)*$B$9/$B$5)</f>
        <v>61</v>
      </c>
      <c r="F44" s="36">
        <f t="shared" ref="F44:F51" si="4">(B44+C44)*($B$10+$B$11)</f>
        <v>1000000</v>
      </c>
      <c r="G44" s="36">
        <f t="shared" ref="G44:G51" si="5">D44*$B$12</f>
        <v>2000000</v>
      </c>
      <c r="H44" s="36">
        <f t="shared" ref="H44:H51" si="6">F44+G44</f>
        <v>3000000</v>
      </c>
    </row>
    <row r="45" ht="15.75" customHeight="1">
      <c r="A45" s="32" t="str">
        <f>IF(Dashboard!A16="","",Dashboard!A16)</f>
        <v>Roxarika</v>
      </c>
      <c r="B45" s="6">
        <v>0.0</v>
      </c>
      <c r="C45" s="6">
        <v>0.0</v>
      </c>
      <c r="D45" s="6">
        <v>0.0</v>
      </c>
      <c r="E45" s="34">
        <f t="shared" si="3"/>
        <v>21</v>
      </c>
      <c r="F45" s="36">
        <f t="shared" si="4"/>
        <v>0</v>
      </c>
      <c r="G45" s="36">
        <f t="shared" si="5"/>
        <v>0</v>
      </c>
      <c r="H45" s="36">
        <f t="shared" si="6"/>
        <v>0</v>
      </c>
    </row>
    <row r="46" ht="15.75" customHeight="1">
      <c r="A46" s="32" t="str">
        <f>IF(Dashboard!A17="","",Dashboard!A17)</f>
        <v>Crosley</v>
      </c>
      <c r="B46" s="6">
        <v>0.0</v>
      </c>
      <c r="C46" s="6">
        <v>0.0</v>
      </c>
      <c r="D46" s="6">
        <v>0.0</v>
      </c>
      <c r="E46" s="34">
        <f t="shared" si="3"/>
        <v>21</v>
      </c>
      <c r="F46" s="36">
        <f t="shared" si="4"/>
        <v>0</v>
      </c>
      <c r="G46" s="36">
        <f t="shared" si="5"/>
        <v>0</v>
      </c>
      <c r="H46" s="36">
        <f t="shared" si="6"/>
        <v>0</v>
      </c>
    </row>
    <row r="47" ht="15.75" customHeight="1">
      <c r="A47" s="32" t="str">
        <f>IF(Dashboard!A18="","",Dashboard!A18)</f>
        <v>Nathanael</v>
      </c>
      <c r="B47" s="6">
        <v>0.0</v>
      </c>
      <c r="C47" s="6">
        <v>0.0</v>
      </c>
      <c r="D47" s="6">
        <v>0.0</v>
      </c>
      <c r="E47" s="34">
        <f t="shared" si="3"/>
        <v>21</v>
      </c>
      <c r="F47" s="36">
        <f t="shared" si="4"/>
        <v>0</v>
      </c>
      <c r="G47" s="36">
        <f t="shared" si="5"/>
        <v>0</v>
      </c>
      <c r="H47" s="36">
        <f t="shared" si="6"/>
        <v>0</v>
      </c>
    </row>
    <row r="48" ht="15.75" customHeight="1">
      <c r="A48" s="32" t="str">
        <f>IF(Dashboard!A19="","",Dashboard!A19)</f>
        <v>Cicero</v>
      </c>
      <c r="B48" s="6">
        <v>0.0</v>
      </c>
      <c r="C48" s="6">
        <v>0.0</v>
      </c>
      <c r="D48" s="6">
        <v>0.0</v>
      </c>
      <c r="E48" s="34">
        <f t="shared" si="3"/>
        <v>21</v>
      </c>
      <c r="F48" s="36">
        <f t="shared" si="4"/>
        <v>0</v>
      </c>
      <c r="G48" s="36">
        <f t="shared" si="5"/>
        <v>0</v>
      </c>
      <c r="H48" s="36">
        <f t="shared" si="6"/>
        <v>0</v>
      </c>
    </row>
    <row r="49" ht="15.75" customHeight="1">
      <c r="A49" s="32" t="str">
        <f>IF(Dashboard!A20="","",Dashboard!A20)</f>
        <v>Seneca</v>
      </c>
      <c r="B49" s="6">
        <v>0.0</v>
      </c>
      <c r="C49" s="6">
        <v>0.0</v>
      </c>
      <c r="D49" s="6">
        <v>0.0</v>
      </c>
      <c r="E49" s="34">
        <f t="shared" si="3"/>
        <v>21</v>
      </c>
      <c r="F49" s="36">
        <f t="shared" si="4"/>
        <v>0</v>
      </c>
      <c r="G49" s="36">
        <f t="shared" si="5"/>
        <v>0</v>
      </c>
      <c r="H49" s="36">
        <f t="shared" si="6"/>
        <v>0</v>
      </c>
    </row>
    <row r="50" ht="15.75" customHeight="1">
      <c r="A50" s="32" t="str">
        <f>IF(Dashboard!A21="","",Dashboard!A21)</f>
        <v>Averroes</v>
      </c>
      <c r="B50" s="6">
        <v>0.0</v>
      </c>
      <c r="C50" s="6">
        <v>0.0</v>
      </c>
      <c r="D50" s="6">
        <v>0.0</v>
      </c>
      <c r="E50" s="34">
        <f t="shared" si="3"/>
        <v>21</v>
      </c>
      <c r="F50" s="36">
        <f t="shared" si="4"/>
        <v>0</v>
      </c>
      <c r="G50" s="36">
        <f t="shared" si="5"/>
        <v>0</v>
      </c>
      <c r="H50" s="36">
        <f t="shared" si="6"/>
        <v>0</v>
      </c>
    </row>
    <row r="51" ht="15.75" customHeight="1">
      <c r="A51" s="32" t="str">
        <f>IF(Dashboard!A22="","",Dashboard!A22)</f>
        <v>Claudius</v>
      </c>
      <c r="B51" s="6">
        <v>0.0</v>
      </c>
      <c r="C51" s="6">
        <v>0.0</v>
      </c>
      <c r="D51" s="6">
        <v>0.0</v>
      </c>
      <c r="E51" s="34">
        <f t="shared" si="3"/>
        <v>21</v>
      </c>
      <c r="F51" s="36">
        <f t="shared" si="4"/>
        <v>0</v>
      </c>
      <c r="G51" s="36">
        <f t="shared" si="5"/>
        <v>0</v>
      </c>
      <c r="H51" s="36">
        <f t="shared" si="6"/>
        <v>0</v>
      </c>
    </row>
    <row r="52" ht="15.75" customHeight="1">
      <c r="A52" s="46" t="s">
        <v>141</v>
      </c>
      <c r="B52" s="50">
        <f t="shared" ref="B52:H52" si="7">SUM(B44:B51)</f>
        <v>4</v>
      </c>
      <c r="C52" s="50">
        <f t="shared" si="7"/>
        <v>16</v>
      </c>
      <c r="D52" s="50">
        <f t="shared" si="7"/>
        <v>20</v>
      </c>
      <c r="E52" s="50">
        <f t="shared" si="7"/>
        <v>208</v>
      </c>
      <c r="F52" s="52">
        <f t="shared" si="7"/>
        <v>1000000</v>
      </c>
      <c r="G52" s="52">
        <f t="shared" si="7"/>
        <v>2000000</v>
      </c>
      <c r="H52" s="52">
        <f t="shared" si="7"/>
        <v>3000000</v>
      </c>
    </row>
    <row r="53" ht="15.75" customHeight="1">
      <c r="A53" s="56" t="str">
        <f>IF(C52&lt;=B14,"Cek craft server: OK ("&amp;C52&amp;" dari "&amp;B14&amp;" terpakai)","PERINGATAN: craft server dialokasikan "&amp;C52&amp;" melebihi batas "&amp;B14)</f>
        <v>Cek craft server: OK (16 dari 16 terpakai)</v>
      </c>
    </row>
    <row r="54" ht="15.75" customHeight="1">
      <c r="A54" s="2" t="s">
        <v>157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19:C26">
      <formula1>"Conquest,Transcend"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45" width="8.71"/>
  </cols>
  <sheetData>
    <row r="1">
      <c r="A1" s="1" t="s">
        <v>12</v>
      </c>
    </row>
    <row r="2">
      <c r="A2" s="2" t="s">
        <v>14</v>
      </c>
    </row>
    <row r="4" ht="30.0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30</v>
      </c>
      <c r="P4" s="3" t="s">
        <v>31</v>
      </c>
      <c r="Q4" s="3" t="s">
        <v>32</v>
      </c>
      <c r="R4" s="3" t="s">
        <v>33</v>
      </c>
      <c r="S4" s="3" t="s">
        <v>35</v>
      </c>
      <c r="T4" s="3" t="s">
        <v>36</v>
      </c>
      <c r="U4" s="3" t="s">
        <v>37</v>
      </c>
      <c r="V4" s="3" t="s">
        <v>39</v>
      </c>
      <c r="W4" s="3" t="s">
        <v>40</v>
      </c>
      <c r="X4" s="3" t="s">
        <v>42</v>
      </c>
      <c r="Y4" s="3" t="s">
        <v>45</v>
      </c>
      <c r="Z4" s="3" t="s">
        <v>47</v>
      </c>
      <c r="AA4" s="3" t="s">
        <v>49</v>
      </c>
      <c r="AB4" s="3" t="s">
        <v>51</v>
      </c>
      <c r="AC4" s="3" t="s">
        <v>54</v>
      </c>
      <c r="AD4" s="3" t="s">
        <v>56</v>
      </c>
      <c r="AE4" s="3" t="s">
        <v>57</v>
      </c>
      <c r="AF4" s="3" t="s">
        <v>60</v>
      </c>
      <c r="AG4" s="3" t="s">
        <v>62</v>
      </c>
      <c r="AH4" s="3" t="s">
        <v>64</v>
      </c>
      <c r="AI4" s="3" t="s">
        <v>66</v>
      </c>
      <c r="AJ4" s="3" t="s">
        <v>69</v>
      </c>
      <c r="AK4" s="3" t="s">
        <v>70</v>
      </c>
      <c r="AL4" s="3" t="s">
        <v>72</v>
      </c>
      <c r="AM4" s="3" t="s">
        <v>74</v>
      </c>
      <c r="AN4" s="3" t="s">
        <v>75</v>
      </c>
      <c r="AO4" s="3" t="s">
        <v>77</v>
      </c>
      <c r="AP4" s="3" t="s">
        <v>79</v>
      </c>
    </row>
    <row r="5">
      <c r="A5" s="14">
        <v>1.0</v>
      </c>
      <c r="B5" s="14" t="str">
        <f>IF(Setting!B19="","",Setting!B19)</f>
        <v>T2</v>
      </c>
      <c r="C5" s="14" t="str">
        <f>IF(B5="","",Setting!C19)</f>
        <v>Conquest</v>
      </c>
      <c r="D5" s="14">
        <f>IF(B5="",0,N(Setting!D19))</f>
        <v>300000</v>
      </c>
      <c r="E5" s="14">
        <f>IF(B5="",0,N(Setting!E19))</f>
        <v>1400</v>
      </c>
      <c r="F5" s="25">
        <f>IF(C5="Conquest",Dashboard!$B$5,IF(C5="Transcend",Dashboard!$B$6,0))</f>
        <v>50</v>
      </c>
      <c r="G5" s="14">
        <f>IF(B5="",0,SUMIFS(Setting!$E$30:$E$39,Setting!$A$30:$A$39,C5,Setting!$C$30:$C$39,"&lt;="&amp;F5,Setting!$D$30:$D$39,"&gt;="&amp;F5))</f>
        <v>1</v>
      </c>
      <c r="H5" s="14">
        <f t="shared" ref="H5:H12" si="3">D5*G5</f>
        <v>300000</v>
      </c>
      <c r="I5" s="14">
        <f t="shared" ref="I5:I12" si="4">SUMIF($N$17:$N$24,A5,$D$17:$D$24)</f>
        <v>147</v>
      </c>
      <c r="J5" s="14">
        <f t="shared" ref="J5:J12" si="5">IF(B5="",0,SUMIF($C$5:$C$12,C5,$I$5:$I$12))</f>
        <v>147</v>
      </c>
      <c r="K5" s="14">
        <f>IF(B5="",0,SUMIFS(Setting!$E$30:$E$39,Setting!$A$30:$A$39,C5,Setting!$C$30:$C$39,"&lt;="&amp;J5,Setting!$D$30:$D$39,"&gt;="&amp;J5))</f>
        <v>0.2</v>
      </c>
      <c r="L5" s="14">
        <f t="shared" ref="L5:L12" si="6">D5*K5</f>
        <v>60000</v>
      </c>
      <c r="M5" s="14">
        <f t="shared" ref="M5:M12" si="7">SUMIF($X$17:$X$24,A5,$D$17:$D$24)</f>
        <v>105</v>
      </c>
      <c r="N5" s="14">
        <f t="shared" ref="N5:N12" si="8">IF(B5="",0,SUMPRODUCT(($C$5:$C$12=C5)*(($D$5:$D$12&gt;D5)+($D$5:$D$12=D5)*($A$5:$A$12&lt;A5))*$M$5:$M$12))</f>
        <v>0</v>
      </c>
      <c r="O5" s="14">
        <f t="shared" ref="O5:O12" si="9">N5+M5</f>
        <v>105</v>
      </c>
      <c r="P5" s="14">
        <f t="shared" ref="P5:T5" si="1">IF($M5=0,0,MAX(0,MIN($O5-1,AJ5)-MAX($N5,AE5)+1))</f>
        <v>84</v>
      </c>
      <c r="Q5" s="14">
        <f t="shared" si="1"/>
        <v>21</v>
      </c>
      <c r="R5" s="14">
        <f t="shared" si="1"/>
        <v>0</v>
      </c>
      <c r="S5" s="14">
        <f t="shared" si="1"/>
        <v>0</v>
      </c>
      <c r="T5" s="14">
        <f t="shared" si="1"/>
        <v>0</v>
      </c>
      <c r="U5" s="14">
        <f t="shared" ref="U5:Y5" si="2">IF($M5=0,0,MAX(0,MIN($O5-1,AJ5,$F5-1)-MAX($N5,AE5)+1))</f>
        <v>50</v>
      </c>
      <c r="V5" s="14">
        <f t="shared" si="2"/>
        <v>0</v>
      </c>
      <c r="W5" s="14">
        <f t="shared" si="2"/>
        <v>0</v>
      </c>
      <c r="X5" s="14">
        <f t="shared" si="2"/>
        <v>0</v>
      </c>
      <c r="Y5" s="14">
        <f t="shared" si="2"/>
        <v>0</v>
      </c>
      <c r="Z5" s="14">
        <f>IF($B5="",0,SUMIFS(Setting!$E$30:$E$39,Setting!$A$30:$A$39,$C5,Setting!$B$30:$B$39,1))</f>
        <v>1</v>
      </c>
      <c r="AA5" s="14">
        <f>IF($B5="",0,SUMIFS(Setting!$E$30:$E$39,Setting!$A$30:$A$39,$C5,Setting!$B$30:$B$39,2))</f>
        <v>0.8</v>
      </c>
      <c r="AB5" s="14">
        <f>IF($B5="",0,SUMIFS(Setting!$E$30:$E$39,Setting!$A$30:$A$39,$C5,Setting!$B$30:$B$39,3))</f>
        <v>0.6</v>
      </c>
      <c r="AC5" s="14">
        <f>IF($B5="",0,SUMIFS(Setting!$E$30:$E$39,Setting!$A$30:$A$39,$C5,Setting!$B$30:$B$39,4))</f>
        <v>0.4</v>
      </c>
      <c r="AD5" s="14">
        <f>IF($B5="",0,SUMIFS(Setting!$E$30:$E$39,Setting!$A$30:$A$39,$C5,Setting!$B$30:$B$39,5))</f>
        <v>0.2</v>
      </c>
      <c r="AE5" s="14">
        <f>IF($B5="",0,SUMIFS(Setting!$C$30:$C$39,Setting!$A$30:$A$39,$C5,Setting!$B$30:$B$39,1))</f>
        <v>0</v>
      </c>
      <c r="AF5" s="14">
        <f>IF($B5="",0,SUMIFS(Setting!$C$30:$C$39,Setting!$A$30:$A$39,$C5,Setting!$B$30:$B$39,2))</f>
        <v>84</v>
      </c>
      <c r="AG5" s="14">
        <f>IF($B5="",0,SUMIFS(Setting!$C$30:$C$39,Setting!$A$30:$A$39,$C5,Setting!$B$30:$B$39,3))</f>
        <v>105</v>
      </c>
      <c r="AH5" s="14">
        <f>IF($B5="",0,SUMIFS(Setting!$C$30:$C$39,Setting!$A$30:$A$39,$C5,Setting!$B$30:$B$39,4))</f>
        <v>126</v>
      </c>
      <c r="AI5" s="14">
        <f>IF($B5="",0,SUMIFS(Setting!$C$30:$C$39,Setting!$A$30:$A$39,$C5,Setting!$B$30:$B$39,5))</f>
        <v>147</v>
      </c>
      <c r="AJ5" s="14">
        <f>IF($B5="",0,SUMIFS(Setting!$D$30:$D$39,Setting!$A$30:$A$39,$C5,Setting!$B$30:$B$39,1))</f>
        <v>83</v>
      </c>
      <c r="AK5" s="14">
        <f>IF($B5="",0,SUMIFS(Setting!$D$30:$D$39,Setting!$A$30:$A$39,$C5,Setting!$B$30:$B$39,2))</f>
        <v>104</v>
      </c>
      <c r="AL5" s="14">
        <f>IF($B5="",0,SUMIFS(Setting!$D$30:$D$39,Setting!$A$30:$A$39,$C5,Setting!$B$30:$B$39,3))</f>
        <v>125</v>
      </c>
      <c r="AM5" s="14">
        <f>IF($B5="",0,SUMIFS(Setting!$D$30:$D$39,Setting!$A$30:$A$39,$C5,Setting!$B$30:$B$39,4))</f>
        <v>146</v>
      </c>
      <c r="AN5" s="14">
        <f>IF($B5="",0,SUMIFS(Setting!$D$30:$D$39,Setting!$A$30:$A$39,$C5,Setting!$B$30:$B$39,5))</f>
        <v>999999</v>
      </c>
      <c r="AO5" s="14">
        <f t="shared" ref="AO5:AO12" si="12">$D5*SUMPRODUCT(P5:T5,Z5:AD5)</f>
        <v>30240000</v>
      </c>
      <c r="AP5" s="14">
        <f t="shared" ref="AP5:AP12" si="13">$D5*SUMPRODUCT(U5:Y5,Z5:AD5)</f>
        <v>15000000</v>
      </c>
    </row>
    <row r="6">
      <c r="A6" s="14">
        <v>2.0</v>
      </c>
      <c r="B6" s="14" t="str">
        <f>IF(Setting!B20="","",Setting!B20)</f>
        <v>T3</v>
      </c>
      <c r="C6" s="14" t="str">
        <f>IF(B6="","",Setting!C20)</f>
        <v>Conquest</v>
      </c>
      <c r="D6" s="14">
        <f>IF(B6="",0,N(Setting!D20))</f>
        <v>400000</v>
      </c>
      <c r="E6" s="14">
        <f>IF(B6="",0,N(Setting!E20))</f>
        <v>2100</v>
      </c>
      <c r="F6" s="25">
        <f>IF(C6="Conquest",Dashboard!$B$5,IF(C6="Transcend",Dashboard!$B$6,0))</f>
        <v>50</v>
      </c>
      <c r="G6" s="14">
        <f>IF(B6="",0,SUMIFS(Setting!$E$30:$E$39,Setting!$A$30:$A$39,C6,Setting!$C$30:$C$39,"&lt;="&amp;F6,Setting!$D$30:$D$39,"&gt;="&amp;F6))</f>
        <v>1</v>
      </c>
      <c r="H6" s="14">
        <f t="shared" si="3"/>
        <v>400000</v>
      </c>
      <c r="I6" s="14">
        <f t="shared" si="4"/>
        <v>0</v>
      </c>
      <c r="J6" s="14">
        <f t="shared" si="5"/>
        <v>147</v>
      </c>
      <c r="K6" s="14">
        <f>IF(B6="",0,SUMIFS(Setting!$E$30:$E$39,Setting!$A$30:$A$39,C6,Setting!$C$30:$C$39,"&lt;="&amp;J6,Setting!$D$30:$D$39,"&gt;="&amp;J6))</f>
        <v>0.2</v>
      </c>
      <c r="L6" s="14">
        <f t="shared" si="6"/>
        <v>80000</v>
      </c>
      <c r="M6" s="14">
        <f t="shared" si="7"/>
        <v>0</v>
      </c>
      <c r="N6" s="14">
        <f t="shared" si="8"/>
        <v>0</v>
      </c>
      <c r="O6" s="14">
        <f t="shared" si="9"/>
        <v>0</v>
      </c>
      <c r="P6" s="14">
        <f t="shared" ref="P6:T6" si="10">IF($M6=0,0,MAX(0,MIN($O6-1,AJ6)-MAX($N6,AE6)+1))</f>
        <v>0</v>
      </c>
      <c r="Q6" s="14">
        <f t="shared" si="10"/>
        <v>0</v>
      </c>
      <c r="R6" s="14">
        <f t="shared" si="10"/>
        <v>0</v>
      </c>
      <c r="S6" s="14">
        <f t="shared" si="10"/>
        <v>0</v>
      </c>
      <c r="T6" s="14">
        <f t="shared" si="10"/>
        <v>0</v>
      </c>
      <c r="U6" s="14">
        <f t="shared" ref="U6:Y6" si="11">IF($M6=0,0,MAX(0,MIN($O6-1,AJ6,$F6-1)-MAX($N6,AE6)+1))</f>
        <v>0</v>
      </c>
      <c r="V6" s="14">
        <f t="shared" si="11"/>
        <v>0</v>
      </c>
      <c r="W6" s="14">
        <f t="shared" si="11"/>
        <v>0</v>
      </c>
      <c r="X6" s="14">
        <f t="shared" si="11"/>
        <v>0</v>
      </c>
      <c r="Y6" s="14">
        <f t="shared" si="11"/>
        <v>0</v>
      </c>
      <c r="Z6" s="14">
        <f>IF($B6="",0,SUMIFS(Setting!$E$30:$E$39,Setting!$A$30:$A$39,$C6,Setting!$B$30:$B$39,1))</f>
        <v>1</v>
      </c>
      <c r="AA6" s="14">
        <f>IF($B6="",0,SUMIFS(Setting!$E$30:$E$39,Setting!$A$30:$A$39,$C6,Setting!$B$30:$B$39,2))</f>
        <v>0.8</v>
      </c>
      <c r="AB6" s="14">
        <f>IF($B6="",0,SUMIFS(Setting!$E$30:$E$39,Setting!$A$30:$A$39,$C6,Setting!$B$30:$B$39,3))</f>
        <v>0.6</v>
      </c>
      <c r="AC6" s="14">
        <f>IF($B6="",0,SUMIFS(Setting!$E$30:$E$39,Setting!$A$30:$A$39,$C6,Setting!$B$30:$B$39,4))</f>
        <v>0.4</v>
      </c>
      <c r="AD6" s="14">
        <f>IF($B6="",0,SUMIFS(Setting!$E$30:$E$39,Setting!$A$30:$A$39,$C6,Setting!$B$30:$B$39,5))</f>
        <v>0.2</v>
      </c>
      <c r="AE6" s="14">
        <f>IF($B6="",0,SUMIFS(Setting!$C$30:$C$39,Setting!$A$30:$A$39,$C6,Setting!$B$30:$B$39,1))</f>
        <v>0</v>
      </c>
      <c r="AF6" s="14">
        <f>IF($B6="",0,SUMIFS(Setting!$C$30:$C$39,Setting!$A$30:$A$39,$C6,Setting!$B$30:$B$39,2))</f>
        <v>84</v>
      </c>
      <c r="AG6" s="14">
        <f>IF($B6="",0,SUMIFS(Setting!$C$30:$C$39,Setting!$A$30:$A$39,$C6,Setting!$B$30:$B$39,3))</f>
        <v>105</v>
      </c>
      <c r="AH6" s="14">
        <f>IF($B6="",0,SUMIFS(Setting!$C$30:$C$39,Setting!$A$30:$A$39,$C6,Setting!$B$30:$B$39,4))</f>
        <v>126</v>
      </c>
      <c r="AI6" s="14">
        <f>IF($B6="",0,SUMIFS(Setting!$C$30:$C$39,Setting!$A$30:$A$39,$C6,Setting!$B$30:$B$39,5))</f>
        <v>147</v>
      </c>
      <c r="AJ6" s="14">
        <f>IF($B6="",0,SUMIFS(Setting!$D$30:$D$39,Setting!$A$30:$A$39,$C6,Setting!$B$30:$B$39,1))</f>
        <v>83</v>
      </c>
      <c r="AK6" s="14">
        <f>IF($B6="",0,SUMIFS(Setting!$D$30:$D$39,Setting!$A$30:$A$39,$C6,Setting!$B$30:$B$39,2))</f>
        <v>104</v>
      </c>
      <c r="AL6" s="14">
        <f>IF($B6="",0,SUMIFS(Setting!$D$30:$D$39,Setting!$A$30:$A$39,$C6,Setting!$B$30:$B$39,3))</f>
        <v>125</v>
      </c>
      <c r="AM6" s="14">
        <f>IF($B6="",0,SUMIFS(Setting!$D$30:$D$39,Setting!$A$30:$A$39,$C6,Setting!$B$30:$B$39,4))</f>
        <v>146</v>
      </c>
      <c r="AN6" s="14">
        <f>IF($B6="",0,SUMIFS(Setting!$D$30:$D$39,Setting!$A$30:$A$39,$C6,Setting!$B$30:$B$39,5))</f>
        <v>999999</v>
      </c>
      <c r="AO6" s="14">
        <f t="shared" si="12"/>
        <v>0</v>
      </c>
      <c r="AP6" s="14">
        <f t="shared" si="13"/>
        <v>0</v>
      </c>
    </row>
    <row r="7">
      <c r="A7" s="14">
        <v>3.0</v>
      </c>
      <c r="B7" s="14" t="str">
        <f>IF(Setting!B21="","",Setting!B21)</f>
        <v>S1</v>
      </c>
      <c r="C7" s="14" t="str">
        <f>IF(B7="","",Setting!C21)</f>
        <v>Transcend</v>
      </c>
      <c r="D7" s="14">
        <f>IF(B7="",0,N(Setting!D21))</f>
        <v>300000</v>
      </c>
      <c r="E7" s="14">
        <f>IF(B7="",0,N(Setting!E21))</f>
        <v>1600</v>
      </c>
      <c r="F7" s="25">
        <f>IF(C7="Conquest",Dashboard!$B$5,IF(C7="Transcend",Dashboard!$B$6,0))</f>
        <v>5</v>
      </c>
      <c r="G7" s="14">
        <f>IF(B7="",0,SUMIFS(Setting!$E$30:$E$39,Setting!$A$30:$A$39,C7,Setting!$C$30:$C$39,"&lt;="&amp;F7,Setting!$D$30:$D$39,"&gt;="&amp;F7))</f>
        <v>1</v>
      </c>
      <c r="H7" s="14">
        <f t="shared" si="3"/>
        <v>300000</v>
      </c>
      <c r="I7" s="14">
        <f t="shared" si="4"/>
        <v>0</v>
      </c>
      <c r="J7" s="14">
        <f t="shared" si="5"/>
        <v>61</v>
      </c>
      <c r="K7" s="14">
        <f>IF(B7="",0,SUMIFS(Setting!$E$30:$E$39,Setting!$A$30:$A$39,C7,Setting!$C$30:$C$39,"&lt;="&amp;J7,Setting!$D$30:$D$39,"&gt;="&amp;J7))</f>
        <v>0.8</v>
      </c>
      <c r="L7" s="14">
        <f t="shared" si="6"/>
        <v>240000</v>
      </c>
      <c r="M7" s="14">
        <f t="shared" si="7"/>
        <v>42</v>
      </c>
      <c r="N7" s="14">
        <f t="shared" si="8"/>
        <v>61</v>
      </c>
      <c r="O7" s="14">
        <f t="shared" si="9"/>
        <v>103</v>
      </c>
      <c r="P7" s="14">
        <f t="shared" ref="P7:T7" si="14">IF($M7=0,0,MAX(0,MIN($O7-1,AJ7)-MAX($N7,AE7)+1))</f>
        <v>0</v>
      </c>
      <c r="Q7" s="14">
        <f t="shared" si="14"/>
        <v>9</v>
      </c>
      <c r="R7" s="14">
        <f t="shared" si="14"/>
        <v>14</v>
      </c>
      <c r="S7" s="14">
        <f t="shared" si="14"/>
        <v>14</v>
      </c>
      <c r="T7" s="14">
        <f t="shared" si="14"/>
        <v>5</v>
      </c>
      <c r="U7" s="14">
        <f t="shared" ref="U7:Y7" si="15">IF($M7=0,0,MAX(0,MIN($O7-1,AJ7,$F7-1)-MAX($N7,AE7)+1))</f>
        <v>0</v>
      </c>
      <c r="V7" s="14">
        <f t="shared" si="15"/>
        <v>0</v>
      </c>
      <c r="W7" s="14">
        <f t="shared" si="15"/>
        <v>0</v>
      </c>
      <c r="X7" s="14">
        <f t="shared" si="15"/>
        <v>0</v>
      </c>
      <c r="Y7" s="14">
        <f t="shared" si="15"/>
        <v>0</v>
      </c>
      <c r="Z7" s="14">
        <f>IF($B7="",0,SUMIFS(Setting!$E$30:$E$39,Setting!$A$30:$A$39,$C7,Setting!$B$30:$B$39,1))</f>
        <v>1</v>
      </c>
      <c r="AA7" s="14">
        <f>IF($B7="",0,SUMIFS(Setting!$E$30:$E$39,Setting!$A$30:$A$39,$C7,Setting!$B$30:$B$39,2))</f>
        <v>0.8</v>
      </c>
      <c r="AB7" s="14">
        <f>IF($B7="",0,SUMIFS(Setting!$E$30:$E$39,Setting!$A$30:$A$39,$C7,Setting!$B$30:$B$39,3))</f>
        <v>0.6</v>
      </c>
      <c r="AC7" s="14">
        <f>IF($B7="",0,SUMIFS(Setting!$E$30:$E$39,Setting!$A$30:$A$39,$C7,Setting!$B$30:$B$39,4))</f>
        <v>0.4</v>
      </c>
      <c r="AD7" s="14">
        <f>IF($B7="",0,SUMIFS(Setting!$E$30:$E$39,Setting!$A$30:$A$39,$C7,Setting!$B$30:$B$39,5))</f>
        <v>0.2</v>
      </c>
      <c r="AE7" s="14">
        <f>IF($B7="",0,SUMIFS(Setting!$C$30:$C$39,Setting!$A$30:$A$39,$C7,Setting!$B$30:$B$39,1))</f>
        <v>0</v>
      </c>
      <c r="AF7" s="14">
        <f>IF($B7="",0,SUMIFS(Setting!$C$30:$C$39,Setting!$A$30:$A$39,$C7,Setting!$B$30:$B$39,2))</f>
        <v>56</v>
      </c>
      <c r="AG7" s="14">
        <f>IF($B7="",0,SUMIFS(Setting!$C$30:$C$39,Setting!$A$30:$A$39,$C7,Setting!$B$30:$B$39,3))</f>
        <v>70</v>
      </c>
      <c r="AH7" s="14">
        <f>IF($B7="",0,SUMIFS(Setting!$C$30:$C$39,Setting!$A$30:$A$39,$C7,Setting!$B$30:$B$39,4))</f>
        <v>84</v>
      </c>
      <c r="AI7" s="14">
        <f>IF($B7="",0,SUMIFS(Setting!$C$30:$C$39,Setting!$A$30:$A$39,$C7,Setting!$B$30:$B$39,5))</f>
        <v>98</v>
      </c>
      <c r="AJ7" s="14">
        <f>IF($B7="",0,SUMIFS(Setting!$D$30:$D$39,Setting!$A$30:$A$39,$C7,Setting!$B$30:$B$39,1))</f>
        <v>55</v>
      </c>
      <c r="AK7" s="14">
        <f>IF($B7="",0,SUMIFS(Setting!$D$30:$D$39,Setting!$A$30:$A$39,$C7,Setting!$B$30:$B$39,2))</f>
        <v>69</v>
      </c>
      <c r="AL7" s="14">
        <f>IF($B7="",0,SUMIFS(Setting!$D$30:$D$39,Setting!$A$30:$A$39,$C7,Setting!$B$30:$B$39,3))</f>
        <v>83</v>
      </c>
      <c r="AM7" s="14">
        <f>IF($B7="",0,SUMIFS(Setting!$D$30:$D$39,Setting!$A$30:$A$39,$C7,Setting!$B$30:$B$39,4))</f>
        <v>97</v>
      </c>
      <c r="AN7" s="14">
        <f>IF($B7="",0,SUMIFS(Setting!$D$30:$D$39,Setting!$A$30:$A$39,$C7,Setting!$B$30:$B$39,5))</f>
        <v>999999</v>
      </c>
      <c r="AO7" s="14">
        <f t="shared" si="12"/>
        <v>6660000</v>
      </c>
      <c r="AP7" s="14">
        <f t="shared" si="13"/>
        <v>0</v>
      </c>
    </row>
    <row r="8">
      <c r="A8" s="14">
        <v>4.0</v>
      </c>
      <c r="B8" s="14" t="str">
        <f>IF(Setting!B22="","",Setting!B22)</f>
        <v>S2</v>
      </c>
      <c r="C8" s="14" t="str">
        <f>IF(B8="","",Setting!C22)</f>
        <v>Transcend</v>
      </c>
      <c r="D8" s="14">
        <f>IF(B8="",0,N(Setting!D22))</f>
        <v>360000</v>
      </c>
      <c r="E8" s="14">
        <f>IF(B8="",0,N(Setting!E22))</f>
        <v>1900</v>
      </c>
      <c r="F8" s="25">
        <f>IF(C8="Conquest",Dashboard!$B$5,IF(C8="Transcend",Dashboard!$B$6,0))</f>
        <v>5</v>
      </c>
      <c r="G8" s="14">
        <f>IF(B8="",0,SUMIFS(Setting!$E$30:$E$39,Setting!$A$30:$A$39,C8,Setting!$C$30:$C$39,"&lt;="&amp;F8,Setting!$D$30:$D$39,"&gt;="&amp;F8))</f>
        <v>1</v>
      </c>
      <c r="H8" s="14">
        <f t="shared" si="3"/>
        <v>360000</v>
      </c>
      <c r="I8" s="14">
        <f t="shared" si="4"/>
        <v>0</v>
      </c>
      <c r="J8" s="14">
        <f t="shared" si="5"/>
        <v>61</v>
      </c>
      <c r="K8" s="14">
        <f>IF(B8="",0,SUMIFS(Setting!$E$30:$E$39,Setting!$A$30:$A$39,C8,Setting!$C$30:$C$39,"&lt;="&amp;J8,Setting!$D$30:$D$39,"&gt;="&amp;J8))</f>
        <v>0.8</v>
      </c>
      <c r="L8" s="14">
        <f t="shared" si="6"/>
        <v>288000</v>
      </c>
      <c r="M8" s="14">
        <f t="shared" si="7"/>
        <v>0</v>
      </c>
      <c r="N8" s="14">
        <f t="shared" si="8"/>
        <v>61</v>
      </c>
      <c r="O8" s="14">
        <f t="shared" si="9"/>
        <v>61</v>
      </c>
      <c r="P8" s="14">
        <f t="shared" ref="P8:T8" si="16">IF($M8=0,0,MAX(0,MIN($O8-1,AJ8)-MAX($N8,AE8)+1))</f>
        <v>0</v>
      </c>
      <c r="Q8" s="14">
        <f t="shared" si="16"/>
        <v>0</v>
      </c>
      <c r="R8" s="14">
        <f t="shared" si="16"/>
        <v>0</v>
      </c>
      <c r="S8" s="14">
        <f t="shared" si="16"/>
        <v>0</v>
      </c>
      <c r="T8" s="14">
        <f t="shared" si="16"/>
        <v>0</v>
      </c>
      <c r="U8" s="14">
        <f t="shared" ref="U8:Y8" si="17">IF($M8=0,0,MAX(0,MIN($O8-1,AJ8,$F8-1)-MAX($N8,AE8)+1))</f>
        <v>0</v>
      </c>
      <c r="V8" s="14">
        <f t="shared" si="17"/>
        <v>0</v>
      </c>
      <c r="W8" s="14">
        <f t="shared" si="17"/>
        <v>0</v>
      </c>
      <c r="X8" s="14">
        <f t="shared" si="17"/>
        <v>0</v>
      </c>
      <c r="Y8" s="14">
        <f t="shared" si="17"/>
        <v>0</v>
      </c>
      <c r="Z8" s="14">
        <f>IF($B8="",0,SUMIFS(Setting!$E$30:$E$39,Setting!$A$30:$A$39,$C8,Setting!$B$30:$B$39,1))</f>
        <v>1</v>
      </c>
      <c r="AA8" s="14">
        <f>IF($B8="",0,SUMIFS(Setting!$E$30:$E$39,Setting!$A$30:$A$39,$C8,Setting!$B$30:$B$39,2))</f>
        <v>0.8</v>
      </c>
      <c r="AB8" s="14">
        <f>IF($B8="",0,SUMIFS(Setting!$E$30:$E$39,Setting!$A$30:$A$39,$C8,Setting!$B$30:$B$39,3))</f>
        <v>0.6</v>
      </c>
      <c r="AC8" s="14">
        <f>IF($B8="",0,SUMIFS(Setting!$E$30:$E$39,Setting!$A$30:$A$39,$C8,Setting!$B$30:$B$39,4))</f>
        <v>0.4</v>
      </c>
      <c r="AD8" s="14">
        <f>IF($B8="",0,SUMIFS(Setting!$E$30:$E$39,Setting!$A$30:$A$39,$C8,Setting!$B$30:$B$39,5))</f>
        <v>0.2</v>
      </c>
      <c r="AE8" s="14">
        <f>IF($B8="",0,SUMIFS(Setting!$C$30:$C$39,Setting!$A$30:$A$39,$C8,Setting!$B$30:$B$39,1))</f>
        <v>0</v>
      </c>
      <c r="AF8" s="14">
        <f>IF($B8="",0,SUMIFS(Setting!$C$30:$C$39,Setting!$A$30:$A$39,$C8,Setting!$B$30:$B$39,2))</f>
        <v>56</v>
      </c>
      <c r="AG8" s="14">
        <f>IF($B8="",0,SUMIFS(Setting!$C$30:$C$39,Setting!$A$30:$A$39,$C8,Setting!$B$30:$B$39,3))</f>
        <v>70</v>
      </c>
      <c r="AH8" s="14">
        <f>IF($B8="",0,SUMIFS(Setting!$C$30:$C$39,Setting!$A$30:$A$39,$C8,Setting!$B$30:$B$39,4))</f>
        <v>84</v>
      </c>
      <c r="AI8" s="14">
        <f>IF($B8="",0,SUMIFS(Setting!$C$30:$C$39,Setting!$A$30:$A$39,$C8,Setting!$B$30:$B$39,5))</f>
        <v>98</v>
      </c>
      <c r="AJ8" s="14">
        <f>IF($B8="",0,SUMIFS(Setting!$D$30:$D$39,Setting!$A$30:$A$39,$C8,Setting!$B$30:$B$39,1))</f>
        <v>55</v>
      </c>
      <c r="AK8" s="14">
        <f>IF($B8="",0,SUMIFS(Setting!$D$30:$D$39,Setting!$A$30:$A$39,$C8,Setting!$B$30:$B$39,2))</f>
        <v>69</v>
      </c>
      <c r="AL8" s="14">
        <f>IF($B8="",0,SUMIFS(Setting!$D$30:$D$39,Setting!$A$30:$A$39,$C8,Setting!$B$30:$B$39,3))</f>
        <v>83</v>
      </c>
      <c r="AM8" s="14">
        <f>IF($B8="",0,SUMIFS(Setting!$D$30:$D$39,Setting!$A$30:$A$39,$C8,Setting!$B$30:$B$39,4))</f>
        <v>97</v>
      </c>
      <c r="AN8" s="14">
        <f>IF($B8="",0,SUMIFS(Setting!$D$30:$D$39,Setting!$A$30:$A$39,$C8,Setting!$B$30:$B$39,5))</f>
        <v>999999</v>
      </c>
      <c r="AO8" s="14">
        <f t="shared" si="12"/>
        <v>0</v>
      </c>
      <c r="AP8" s="14">
        <f t="shared" si="13"/>
        <v>0</v>
      </c>
    </row>
    <row r="9">
      <c r="A9" s="14">
        <v>5.0</v>
      </c>
      <c r="B9" s="14" t="str">
        <f>IF(Setting!B23="","",Setting!B23)</f>
        <v>S3</v>
      </c>
      <c r="C9" s="14" t="str">
        <f>IF(B9="","",Setting!C23)</f>
        <v>Transcend</v>
      </c>
      <c r="D9" s="14">
        <f>IF(B9="",0,N(Setting!D23))</f>
        <v>420000</v>
      </c>
      <c r="E9" s="14">
        <f>IF(B9="",0,N(Setting!E23))</f>
        <v>2200</v>
      </c>
      <c r="F9" s="25">
        <f>IF(C9="Conquest",Dashboard!$B$5,IF(C9="Transcend",Dashboard!$B$6,0))</f>
        <v>5</v>
      </c>
      <c r="G9" s="14">
        <f>IF(B9="",0,SUMIFS(Setting!$E$30:$E$39,Setting!$A$30:$A$39,C9,Setting!$C$30:$C$39,"&lt;="&amp;F9,Setting!$D$30:$D$39,"&gt;="&amp;F9))</f>
        <v>1</v>
      </c>
      <c r="H9" s="14">
        <f t="shared" si="3"/>
        <v>420000</v>
      </c>
      <c r="I9" s="14">
        <f t="shared" si="4"/>
        <v>0</v>
      </c>
      <c r="J9" s="14">
        <f t="shared" si="5"/>
        <v>61</v>
      </c>
      <c r="K9" s="14">
        <f>IF(B9="",0,SUMIFS(Setting!$E$30:$E$39,Setting!$A$30:$A$39,C9,Setting!$C$30:$C$39,"&lt;="&amp;J9,Setting!$D$30:$D$39,"&gt;="&amp;J9))</f>
        <v>0.8</v>
      </c>
      <c r="L9" s="14">
        <f t="shared" si="6"/>
        <v>336000</v>
      </c>
      <c r="M9" s="14">
        <f t="shared" si="7"/>
        <v>0</v>
      </c>
      <c r="N9" s="14">
        <f t="shared" si="8"/>
        <v>61</v>
      </c>
      <c r="O9" s="14">
        <f t="shared" si="9"/>
        <v>61</v>
      </c>
      <c r="P9" s="14">
        <f t="shared" ref="P9:T9" si="18">IF($M9=0,0,MAX(0,MIN($O9-1,AJ9)-MAX($N9,AE9)+1))</f>
        <v>0</v>
      </c>
      <c r="Q9" s="14">
        <f t="shared" si="18"/>
        <v>0</v>
      </c>
      <c r="R9" s="14">
        <f t="shared" si="18"/>
        <v>0</v>
      </c>
      <c r="S9" s="14">
        <f t="shared" si="18"/>
        <v>0</v>
      </c>
      <c r="T9" s="14">
        <f t="shared" si="18"/>
        <v>0</v>
      </c>
      <c r="U9" s="14">
        <f t="shared" ref="U9:Y9" si="19">IF($M9=0,0,MAX(0,MIN($O9-1,AJ9,$F9-1)-MAX($N9,AE9)+1))</f>
        <v>0</v>
      </c>
      <c r="V9" s="14">
        <f t="shared" si="19"/>
        <v>0</v>
      </c>
      <c r="W9" s="14">
        <f t="shared" si="19"/>
        <v>0</v>
      </c>
      <c r="X9" s="14">
        <f t="shared" si="19"/>
        <v>0</v>
      </c>
      <c r="Y9" s="14">
        <f t="shared" si="19"/>
        <v>0</v>
      </c>
      <c r="Z9" s="14">
        <f>IF($B9="",0,SUMIFS(Setting!$E$30:$E$39,Setting!$A$30:$A$39,$C9,Setting!$B$30:$B$39,1))</f>
        <v>1</v>
      </c>
      <c r="AA9" s="14">
        <f>IF($B9="",0,SUMIFS(Setting!$E$30:$E$39,Setting!$A$30:$A$39,$C9,Setting!$B$30:$B$39,2))</f>
        <v>0.8</v>
      </c>
      <c r="AB9" s="14">
        <f>IF($B9="",0,SUMIFS(Setting!$E$30:$E$39,Setting!$A$30:$A$39,$C9,Setting!$B$30:$B$39,3))</f>
        <v>0.6</v>
      </c>
      <c r="AC9" s="14">
        <f>IF($B9="",0,SUMIFS(Setting!$E$30:$E$39,Setting!$A$30:$A$39,$C9,Setting!$B$30:$B$39,4))</f>
        <v>0.4</v>
      </c>
      <c r="AD9" s="14">
        <f>IF($B9="",0,SUMIFS(Setting!$E$30:$E$39,Setting!$A$30:$A$39,$C9,Setting!$B$30:$B$39,5))</f>
        <v>0.2</v>
      </c>
      <c r="AE9" s="14">
        <f>IF($B9="",0,SUMIFS(Setting!$C$30:$C$39,Setting!$A$30:$A$39,$C9,Setting!$B$30:$B$39,1))</f>
        <v>0</v>
      </c>
      <c r="AF9" s="14">
        <f>IF($B9="",0,SUMIFS(Setting!$C$30:$C$39,Setting!$A$30:$A$39,$C9,Setting!$B$30:$B$39,2))</f>
        <v>56</v>
      </c>
      <c r="AG9" s="14">
        <f>IF($B9="",0,SUMIFS(Setting!$C$30:$C$39,Setting!$A$30:$A$39,$C9,Setting!$B$30:$B$39,3))</f>
        <v>70</v>
      </c>
      <c r="AH9" s="14">
        <f>IF($B9="",0,SUMIFS(Setting!$C$30:$C$39,Setting!$A$30:$A$39,$C9,Setting!$B$30:$B$39,4))</f>
        <v>84</v>
      </c>
      <c r="AI9" s="14">
        <f>IF($B9="",0,SUMIFS(Setting!$C$30:$C$39,Setting!$A$30:$A$39,$C9,Setting!$B$30:$B$39,5))</f>
        <v>98</v>
      </c>
      <c r="AJ9" s="14">
        <f>IF($B9="",0,SUMIFS(Setting!$D$30:$D$39,Setting!$A$30:$A$39,$C9,Setting!$B$30:$B$39,1))</f>
        <v>55</v>
      </c>
      <c r="AK9" s="14">
        <f>IF($B9="",0,SUMIFS(Setting!$D$30:$D$39,Setting!$A$30:$A$39,$C9,Setting!$B$30:$B$39,2))</f>
        <v>69</v>
      </c>
      <c r="AL9" s="14">
        <f>IF($B9="",0,SUMIFS(Setting!$D$30:$D$39,Setting!$A$30:$A$39,$C9,Setting!$B$30:$B$39,3))</f>
        <v>83</v>
      </c>
      <c r="AM9" s="14">
        <f>IF($B9="",0,SUMIFS(Setting!$D$30:$D$39,Setting!$A$30:$A$39,$C9,Setting!$B$30:$B$39,4))</f>
        <v>97</v>
      </c>
      <c r="AN9" s="14">
        <f>IF($B9="",0,SUMIFS(Setting!$D$30:$D$39,Setting!$A$30:$A$39,$C9,Setting!$B$30:$B$39,5))</f>
        <v>999999</v>
      </c>
      <c r="AO9" s="14">
        <f t="shared" si="12"/>
        <v>0</v>
      </c>
      <c r="AP9" s="14">
        <f t="shared" si="13"/>
        <v>0</v>
      </c>
    </row>
    <row r="10">
      <c r="A10" s="14">
        <v>6.0</v>
      </c>
      <c r="B10" s="14" t="str">
        <f>IF(Setting!B24="","",Setting!B24)</f>
        <v>S4</v>
      </c>
      <c r="C10" s="14" t="str">
        <f>IF(B10="","",Setting!C24)</f>
        <v>Transcend</v>
      </c>
      <c r="D10" s="14">
        <f>IF(B10="",0,N(Setting!D24))</f>
        <v>480000</v>
      </c>
      <c r="E10" s="14">
        <f>IF(B10="",0,N(Setting!E24))</f>
        <v>2500</v>
      </c>
      <c r="F10" s="25">
        <f>IF(C10="Conquest",Dashboard!$B$5,IF(C10="Transcend",Dashboard!$B$6,0))</f>
        <v>5</v>
      </c>
      <c r="G10" s="14">
        <f>IF(B10="",0,SUMIFS(Setting!$E$30:$E$39,Setting!$A$30:$A$39,C10,Setting!$C$30:$C$39,"&lt;="&amp;F10,Setting!$D$30:$D$39,"&gt;="&amp;F10))</f>
        <v>1</v>
      </c>
      <c r="H10" s="14">
        <f t="shared" si="3"/>
        <v>480000</v>
      </c>
      <c r="I10" s="14">
        <f t="shared" si="4"/>
        <v>61</v>
      </c>
      <c r="J10" s="14">
        <f t="shared" si="5"/>
        <v>61</v>
      </c>
      <c r="K10" s="14">
        <f>IF(B10="",0,SUMIFS(Setting!$E$30:$E$39,Setting!$A$30:$A$39,C10,Setting!$C$30:$C$39,"&lt;="&amp;J10,Setting!$D$30:$D$39,"&gt;="&amp;J10))</f>
        <v>0.8</v>
      </c>
      <c r="L10" s="14">
        <f t="shared" si="6"/>
        <v>384000</v>
      </c>
      <c r="M10" s="14">
        <f t="shared" si="7"/>
        <v>61</v>
      </c>
      <c r="N10" s="14">
        <f t="shared" si="8"/>
        <v>0</v>
      </c>
      <c r="O10" s="14">
        <f t="shared" si="9"/>
        <v>61</v>
      </c>
      <c r="P10" s="14">
        <f t="shared" ref="P10:T10" si="20">IF($M10=0,0,MAX(0,MIN($O10-1,AJ10)-MAX($N10,AE10)+1))</f>
        <v>56</v>
      </c>
      <c r="Q10" s="14">
        <f t="shared" si="20"/>
        <v>5</v>
      </c>
      <c r="R10" s="14">
        <f t="shared" si="20"/>
        <v>0</v>
      </c>
      <c r="S10" s="14">
        <f t="shared" si="20"/>
        <v>0</v>
      </c>
      <c r="T10" s="14">
        <f t="shared" si="20"/>
        <v>0</v>
      </c>
      <c r="U10" s="14">
        <f t="shared" ref="U10:Y10" si="21">IF($M10=0,0,MAX(0,MIN($O10-1,AJ10,$F10-1)-MAX($N10,AE10)+1))</f>
        <v>5</v>
      </c>
      <c r="V10" s="14">
        <f t="shared" si="21"/>
        <v>0</v>
      </c>
      <c r="W10" s="14">
        <f t="shared" si="21"/>
        <v>0</v>
      </c>
      <c r="X10" s="14">
        <f t="shared" si="21"/>
        <v>0</v>
      </c>
      <c r="Y10" s="14">
        <f t="shared" si="21"/>
        <v>0</v>
      </c>
      <c r="Z10" s="14">
        <f>IF($B10="",0,SUMIFS(Setting!$E$30:$E$39,Setting!$A$30:$A$39,$C10,Setting!$B$30:$B$39,1))</f>
        <v>1</v>
      </c>
      <c r="AA10" s="14">
        <f>IF($B10="",0,SUMIFS(Setting!$E$30:$E$39,Setting!$A$30:$A$39,$C10,Setting!$B$30:$B$39,2))</f>
        <v>0.8</v>
      </c>
      <c r="AB10" s="14">
        <f>IF($B10="",0,SUMIFS(Setting!$E$30:$E$39,Setting!$A$30:$A$39,$C10,Setting!$B$30:$B$39,3))</f>
        <v>0.6</v>
      </c>
      <c r="AC10" s="14">
        <f>IF($B10="",0,SUMIFS(Setting!$E$30:$E$39,Setting!$A$30:$A$39,$C10,Setting!$B$30:$B$39,4))</f>
        <v>0.4</v>
      </c>
      <c r="AD10" s="14">
        <f>IF($B10="",0,SUMIFS(Setting!$E$30:$E$39,Setting!$A$30:$A$39,$C10,Setting!$B$30:$B$39,5))</f>
        <v>0.2</v>
      </c>
      <c r="AE10" s="14">
        <f>IF($B10="",0,SUMIFS(Setting!$C$30:$C$39,Setting!$A$30:$A$39,$C10,Setting!$B$30:$B$39,1))</f>
        <v>0</v>
      </c>
      <c r="AF10" s="14">
        <f>IF($B10="",0,SUMIFS(Setting!$C$30:$C$39,Setting!$A$30:$A$39,$C10,Setting!$B$30:$B$39,2))</f>
        <v>56</v>
      </c>
      <c r="AG10" s="14">
        <f>IF($B10="",0,SUMIFS(Setting!$C$30:$C$39,Setting!$A$30:$A$39,$C10,Setting!$B$30:$B$39,3))</f>
        <v>70</v>
      </c>
      <c r="AH10" s="14">
        <f>IF($B10="",0,SUMIFS(Setting!$C$30:$C$39,Setting!$A$30:$A$39,$C10,Setting!$B$30:$B$39,4))</f>
        <v>84</v>
      </c>
      <c r="AI10" s="14">
        <f>IF($B10="",0,SUMIFS(Setting!$C$30:$C$39,Setting!$A$30:$A$39,$C10,Setting!$B$30:$B$39,5))</f>
        <v>98</v>
      </c>
      <c r="AJ10" s="14">
        <f>IF($B10="",0,SUMIFS(Setting!$D$30:$D$39,Setting!$A$30:$A$39,$C10,Setting!$B$30:$B$39,1))</f>
        <v>55</v>
      </c>
      <c r="AK10" s="14">
        <f>IF($B10="",0,SUMIFS(Setting!$D$30:$D$39,Setting!$A$30:$A$39,$C10,Setting!$B$30:$B$39,2))</f>
        <v>69</v>
      </c>
      <c r="AL10" s="14">
        <f>IF($B10="",0,SUMIFS(Setting!$D$30:$D$39,Setting!$A$30:$A$39,$C10,Setting!$B$30:$B$39,3))</f>
        <v>83</v>
      </c>
      <c r="AM10" s="14">
        <f>IF($B10="",0,SUMIFS(Setting!$D$30:$D$39,Setting!$A$30:$A$39,$C10,Setting!$B$30:$B$39,4))</f>
        <v>97</v>
      </c>
      <c r="AN10" s="14">
        <f>IF($B10="",0,SUMIFS(Setting!$D$30:$D$39,Setting!$A$30:$A$39,$C10,Setting!$B$30:$B$39,5))</f>
        <v>999999</v>
      </c>
      <c r="AO10" s="14">
        <f t="shared" si="12"/>
        <v>28800000</v>
      </c>
      <c r="AP10" s="14">
        <f t="shared" si="13"/>
        <v>2400000</v>
      </c>
    </row>
    <row r="11">
      <c r="A11" s="14">
        <v>7.0</v>
      </c>
      <c r="B11" s="14" t="str">
        <f>IF(Setting!B25="","",Setting!B25)</f>
        <v/>
      </c>
      <c r="C11" s="14" t="str">
        <f>IF(B11="","",Setting!C25)</f>
        <v/>
      </c>
      <c r="D11" s="14">
        <f>IF(B11="",0,N(Setting!D25))</f>
        <v>0</v>
      </c>
      <c r="E11" s="14">
        <f>IF(B11="",0,N(Setting!E25))</f>
        <v>0</v>
      </c>
      <c r="F11" s="14">
        <f>IF(C11="Conquest",Dashboard!$B$5,IF(C11="Transcend",Dashboard!$B$6,0))</f>
        <v>0</v>
      </c>
      <c r="G11" s="14">
        <f>IF(B11="",0,SUMIFS(Setting!$E$30:$E$39,Setting!$A$30:$A$39,C11,Setting!$C$30:$C$39,"&lt;="&amp;F11,Setting!$D$30:$D$39,"&gt;="&amp;F11))</f>
        <v>0</v>
      </c>
      <c r="H11" s="14">
        <f t="shared" si="3"/>
        <v>0</v>
      </c>
      <c r="I11" s="14">
        <f t="shared" si="4"/>
        <v>0</v>
      </c>
      <c r="J11" s="14">
        <f t="shared" si="5"/>
        <v>0</v>
      </c>
      <c r="K11" s="14">
        <f>IF(B11="",0,SUMIFS(Setting!$E$30:$E$39,Setting!$A$30:$A$39,C11,Setting!$C$30:$C$39,"&lt;="&amp;J11,Setting!$D$30:$D$39,"&gt;="&amp;J11))</f>
        <v>0</v>
      </c>
      <c r="L11" s="14">
        <f t="shared" si="6"/>
        <v>0</v>
      </c>
      <c r="M11" s="14">
        <f t="shared" si="7"/>
        <v>0</v>
      </c>
      <c r="N11" s="14">
        <f t="shared" si="8"/>
        <v>0</v>
      </c>
      <c r="O11" s="14">
        <f t="shared" si="9"/>
        <v>0</v>
      </c>
      <c r="P11" s="14">
        <f t="shared" ref="P11:T11" si="22">IF($M11=0,0,MAX(0,MIN($O11-1,AJ11)-MAX($N11,AE11)+1))</f>
        <v>0</v>
      </c>
      <c r="Q11" s="14">
        <f t="shared" si="22"/>
        <v>0</v>
      </c>
      <c r="R11" s="14">
        <f t="shared" si="22"/>
        <v>0</v>
      </c>
      <c r="S11" s="14">
        <f t="shared" si="22"/>
        <v>0</v>
      </c>
      <c r="T11" s="14">
        <f t="shared" si="22"/>
        <v>0</v>
      </c>
      <c r="U11" s="14">
        <f t="shared" ref="U11:Y11" si="23">IF($M11=0,0,MAX(0,MIN($O11-1,AJ11,$F11-1)-MAX($N11,AE11)+1))</f>
        <v>0</v>
      </c>
      <c r="V11" s="14">
        <f t="shared" si="23"/>
        <v>0</v>
      </c>
      <c r="W11" s="14">
        <f t="shared" si="23"/>
        <v>0</v>
      </c>
      <c r="X11" s="14">
        <f t="shared" si="23"/>
        <v>0</v>
      </c>
      <c r="Y11" s="14">
        <f t="shared" si="23"/>
        <v>0</v>
      </c>
      <c r="Z11" s="14">
        <f>IF($B11="",0,SUMIFS(Setting!$E$30:$E$39,Setting!$A$30:$A$39,$C11,Setting!$B$30:$B$39,1))</f>
        <v>0</v>
      </c>
      <c r="AA11" s="14">
        <f>IF($B11="",0,SUMIFS(Setting!$E$30:$E$39,Setting!$A$30:$A$39,$C11,Setting!$B$30:$B$39,2))</f>
        <v>0</v>
      </c>
      <c r="AB11" s="14">
        <f>IF($B11="",0,SUMIFS(Setting!$E$30:$E$39,Setting!$A$30:$A$39,$C11,Setting!$B$30:$B$39,3))</f>
        <v>0</v>
      </c>
      <c r="AC11" s="14">
        <f>IF($B11="",0,SUMIFS(Setting!$E$30:$E$39,Setting!$A$30:$A$39,$C11,Setting!$B$30:$B$39,4))</f>
        <v>0</v>
      </c>
      <c r="AD11" s="14">
        <f>IF($B11="",0,SUMIFS(Setting!$E$30:$E$39,Setting!$A$30:$A$39,$C11,Setting!$B$30:$B$39,5))</f>
        <v>0</v>
      </c>
      <c r="AE11" s="14">
        <f>IF($B11="",0,SUMIFS(Setting!$C$30:$C$39,Setting!$A$30:$A$39,$C11,Setting!$B$30:$B$39,1))</f>
        <v>0</v>
      </c>
      <c r="AF11" s="14">
        <f>IF($B11="",0,SUMIFS(Setting!$C$30:$C$39,Setting!$A$30:$A$39,$C11,Setting!$B$30:$B$39,2))</f>
        <v>0</v>
      </c>
      <c r="AG11" s="14">
        <f>IF($B11="",0,SUMIFS(Setting!$C$30:$C$39,Setting!$A$30:$A$39,$C11,Setting!$B$30:$B$39,3))</f>
        <v>0</v>
      </c>
      <c r="AH11" s="14">
        <f>IF($B11="",0,SUMIFS(Setting!$C$30:$C$39,Setting!$A$30:$A$39,$C11,Setting!$B$30:$B$39,4))</f>
        <v>0</v>
      </c>
      <c r="AI11" s="14">
        <f>IF($B11="",0,SUMIFS(Setting!$C$30:$C$39,Setting!$A$30:$A$39,$C11,Setting!$B$30:$B$39,5))</f>
        <v>0</v>
      </c>
      <c r="AJ11" s="14">
        <f>IF($B11="",0,SUMIFS(Setting!$D$30:$D$39,Setting!$A$30:$A$39,$C11,Setting!$B$30:$B$39,1))</f>
        <v>0</v>
      </c>
      <c r="AK11" s="14">
        <f>IF($B11="",0,SUMIFS(Setting!$D$30:$D$39,Setting!$A$30:$A$39,$C11,Setting!$B$30:$B$39,2))</f>
        <v>0</v>
      </c>
      <c r="AL11" s="14">
        <f>IF($B11="",0,SUMIFS(Setting!$D$30:$D$39,Setting!$A$30:$A$39,$C11,Setting!$B$30:$B$39,3))</f>
        <v>0</v>
      </c>
      <c r="AM11" s="14">
        <f>IF($B11="",0,SUMIFS(Setting!$D$30:$D$39,Setting!$A$30:$A$39,$C11,Setting!$B$30:$B$39,4))</f>
        <v>0</v>
      </c>
      <c r="AN11" s="14">
        <f>IF($B11="",0,SUMIFS(Setting!$D$30:$D$39,Setting!$A$30:$A$39,$C11,Setting!$B$30:$B$39,5))</f>
        <v>0</v>
      </c>
      <c r="AO11" s="14">
        <f t="shared" si="12"/>
        <v>0</v>
      </c>
      <c r="AP11" s="14">
        <f t="shared" si="13"/>
        <v>0</v>
      </c>
    </row>
    <row r="12">
      <c r="A12" s="14">
        <v>8.0</v>
      </c>
      <c r="B12" s="14" t="str">
        <f>IF(Setting!B26="","",Setting!B26)</f>
        <v/>
      </c>
      <c r="C12" s="14" t="str">
        <f>IF(B12="","",Setting!C26)</f>
        <v/>
      </c>
      <c r="D12" s="14">
        <f>IF(B12="",0,N(Setting!D26))</f>
        <v>0</v>
      </c>
      <c r="E12" s="14">
        <f>IF(B12="",0,N(Setting!E26))</f>
        <v>0</v>
      </c>
      <c r="F12" s="14">
        <f>IF(C12="Conquest",Dashboard!$B$5,IF(C12="Transcend",Dashboard!$B$6,0))</f>
        <v>0</v>
      </c>
      <c r="G12" s="14">
        <f>IF(B12="",0,SUMIFS(Setting!$E$30:$E$39,Setting!$A$30:$A$39,C12,Setting!$C$30:$C$39,"&lt;="&amp;F12,Setting!$D$30:$D$39,"&gt;="&amp;F12))</f>
        <v>0</v>
      </c>
      <c r="H12" s="14">
        <f t="shared" si="3"/>
        <v>0</v>
      </c>
      <c r="I12" s="14">
        <f t="shared" si="4"/>
        <v>0</v>
      </c>
      <c r="J12" s="14">
        <f t="shared" si="5"/>
        <v>0</v>
      </c>
      <c r="K12" s="14">
        <f>IF(B12="",0,SUMIFS(Setting!$E$30:$E$39,Setting!$A$30:$A$39,C12,Setting!$C$30:$C$39,"&lt;="&amp;J12,Setting!$D$30:$D$39,"&gt;="&amp;J12))</f>
        <v>0</v>
      </c>
      <c r="L12" s="14">
        <f t="shared" si="6"/>
        <v>0</v>
      </c>
      <c r="M12" s="14">
        <f t="shared" si="7"/>
        <v>0</v>
      </c>
      <c r="N12" s="14">
        <f t="shared" si="8"/>
        <v>0</v>
      </c>
      <c r="O12" s="14">
        <f t="shared" si="9"/>
        <v>0</v>
      </c>
      <c r="P12" s="14">
        <f t="shared" ref="P12:T12" si="24">IF($M12=0,0,MAX(0,MIN($O12-1,AJ12)-MAX($N12,AE12)+1))</f>
        <v>0</v>
      </c>
      <c r="Q12" s="14">
        <f t="shared" si="24"/>
        <v>0</v>
      </c>
      <c r="R12" s="14">
        <f t="shared" si="24"/>
        <v>0</v>
      </c>
      <c r="S12" s="14">
        <f t="shared" si="24"/>
        <v>0</v>
      </c>
      <c r="T12" s="14">
        <f t="shared" si="24"/>
        <v>0</v>
      </c>
      <c r="U12" s="14">
        <f t="shared" ref="U12:Y12" si="25">IF($M12=0,0,MAX(0,MIN($O12-1,AJ12,$F12-1)-MAX($N12,AE12)+1))</f>
        <v>0</v>
      </c>
      <c r="V12" s="14">
        <f t="shared" si="25"/>
        <v>0</v>
      </c>
      <c r="W12" s="14">
        <f t="shared" si="25"/>
        <v>0</v>
      </c>
      <c r="X12" s="14">
        <f t="shared" si="25"/>
        <v>0</v>
      </c>
      <c r="Y12" s="14">
        <f t="shared" si="25"/>
        <v>0</v>
      </c>
      <c r="Z12" s="14">
        <f>IF($B12="",0,SUMIFS(Setting!$E$30:$E$39,Setting!$A$30:$A$39,$C12,Setting!$B$30:$B$39,1))</f>
        <v>0</v>
      </c>
      <c r="AA12" s="14">
        <f>IF($B12="",0,SUMIFS(Setting!$E$30:$E$39,Setting!$A$30:$A$39,$C12,Setting!$B$30:$B$39,2))</f>
        <v>0</v>
      </c>
      <c r="AB12" s="14">
        <f>IF($B12="",0,SUMIFS(Setting!$E$30:$E$39,Setting!$A$30:$A$39,$C12,Setting!$B$30:$B$39,3))</f>
        <v>0</v>
      </c>
      <c r="AC12" s="14">
        <f>IF($B12="",0,SUMIFS(Setting!$E$30:$E$39,Setting!$A$30:$A$39,$C12,Setting!$B$30:$B$39,4))</f>
        <v>0</v>
      </c>
      <c r="AD12" s="14">
        <f>IF($B12="",0,SUMIFS(Setting!$E$30:$E$39,Setting!$A$30:$A$39,$C12,Setting!$B$30:$B$39,5))</f>
        <v>0</v>
      </c>
      <c r="AE12" s="14">
        <f>IF($B12="",0,SUMIFS(Setting!$C$30:$C$39,Setting!$A$30:$A$39,$C12,Setting!$B$30:$B$39,1))</f>
        <v>0</v>
      </c>
      <c r="AF12" s="14">
        <f>IF($B12="",0,SUMIFS(Setting!$C$30:$C$39,Setting!$A$30:$A$39,$C12,Setting!$B$30:$B$39,2))</f>
        <v>0</v>
      </c>
      <c r="AG12" s="14">
        <f>IF($B12="",0,SUMIFS(Setting!$C$30:$C$39,Setting!$A$30:$A$39,$C12,Setting!$B$30:$B$39,3))</f>
        <v>0</v>
      </c>
      <c r="AH12" s="14">
        <f>IF($B12="",0,SUMIFS(Setting!$C$30:$C$39,Setting!$A$30:$A$39,$C12,Setting!$B$30:$B$39,4))</f>
        <v>0</v>
      </c>
      <c r="AI12" s="14">
        <f>IF($B12="",0,SUMIFS(Setting!$C$30:$C$39,Setting!$A$30:$A$39,$C12,Setting!$B$30:$B$39,5))</f>
        <v>0</v>
      </c>
      <c r="AJ12" s="14">
        <f>IF($B12="",0,SUMIFS(Setting!$D$30:$D$39,Setting!$A$30:$A$39,$C12,Setting!$B$30:$B$39,1))</f>
        <v>0</v>
      </c>
      <c r="AK12" s="14">
        <f>IF($B12="",0,SUMIFS(Setting!$D$30:$D$39,Setting!$A$30:$A$39,$C12,Setting!$B$30:$B$39,2))</f>
        <v>0</v>
      </c>
      <c r="AL12" s="14">
        <f>IF($B12="",0,SUMIFS(Setting!$D$30:$D$39,Setting!$A$30:$A$39,$C12,Setting!$B$30:$B$39,3))</f>
        <v>0</v>
      </c>
      <c r="AM12" s="14">
        <f>IF($B12="",0,SUMIFS(Setting!$D$30:$D$39,Setting!$A$30:$A$39,$C12,Setting!$B$30:$B$39,4))</f>
        <v>0</v>
      </c>
      <c r="AN12" s="14">
        <f>IF($B12="",0,SUMIFS(Setting!$D$30:$D$39,Setting!$A$30:$A$39,$C12,Setting!$B$30:$B$39,5))</f>
        <v>0</v>
      </c>
      <c r="AO12" s="14">
        <f t="shared" si="12"/>
        <v>0</v>
      </c>
      <c r="AP12" s="14">
        <f t="shared" si="13"/>
        <v>0</v>
      </c>
    </row>
    <row r="13">
      <c r="B13" s="14" t="s">
        <v>141</v>
      </c>
      <c r="M13" s="14">
        <f>SUM(M5:M12)</f>
        <v>208</v>
      </c>
      <c r="AO13" s="14">
        <f t="shared" ref="AO13:AP13" si="26">SUM(AO5:AO12)</f>
        <v>65700000</v>
      </c>
      <c r="AP13" s="14">
        <f t="shared" si="26"/>
        <v>17400000</v>
      </c>
    </row>
    <row r="16" ht="30.0" customHeight="1">
      <c r="A16" s="3" t="s">
        <v>73</v>
      </c>
      <c r="B16" s="3" t="s">
        <v>198</v>
      </c>
      <c r="C16" s="3" t="s">
        <v>144</v>
      </c>
      <c r="D16" s="3" t="s">
        <v>199</v>
      </c>
      <c r="E16" s="3" t="s">
        <v>200</v>
      </c>
      <c r="F16" s="3" t="s">
        <v>201</v>
      </c>
      <c r="G16" s="3" t="s">
        <v>202</v>
      </c>
      <c r="H16" s="3" t="s">
        <v>203</v>
      </c>
      <c r="I16" s="3" t="s">
        <v>204</v>
      </c>
      <c r="J16" s="3" t="s">
        <v>205</v>
      </c>
      <c r="K16" s="3" t="s">
        <v>206</v>
      </c>
      <c r="L16" s="3" t="s">
        <v>207</v>
      </c>
      <c r="M16" s="3" t="s">
        <v>208</v>
      </c>
      <c r="N16" s="3" t="s">
        <v>209</v>
      </c>
      <c r="O16" s="3" t="s">
        <v>210</v>
      </c>
      <c r="P16" s="3" t="s">
        <v>211</v>
      </c>
      <c r="Q16" s="3" t="s">
        <v>212</v>
      </c>
      <c r="R16" s="3" t="s">
        <v>213</v>
      </c>
      <c r="S16" s="3" t="s">
        <v>214</v>
      </c>
      <c r="T16" s="3" t="s">
        <v>215</v>
      </c>
      <c r="U16" s="3" t="s">
        <v>216</v>
      </c>
      <c r="V16" s="3" t="s">
        <v>217</v>
      </c>
      <c r="W16" s="3" t="s">
        <v>218</v>
      </c>
      <c r="X16" s="3" t="s">
        <v>219</v>
      </c>
      <c r="Y16" s="3" t="s">
        <v>16</v>
      </c>
      <c r="Z16" s="3" t="s">
        <v>22</v>
      </c>
      <c r="AA16" s="3" t="s">
        <v>220</v>
      </c>
      <c r="AB16" s="3" t="s">
        <v>221</v>
      </c>
      <c r="AC16" s="3" t="s">
        <v>222</v>
      </c>
      <c r="AD16" s="3" t="s">
        <v>223</v>
      </c>
      <c r="AE16" s="3" t="s">
        <v>224</v>
      </c>
      <c r="AF16" s="3" t="s">
        <v>225</v>
      </c>
      <c r="AG16" s="3" t="s">
        <v>226</v>
      </c>
      <c r="AH16" s="3" t="s">
        <v>227</v>
      </c>
      <c r="AI16" s="3" t="s">
        <v>228</v>
      </c>
      <c r="AJ16" s="3" t="s">
        <v>229</v>
      </c>
      <c r="AK16" s="3" t="s">
        <v>230</v>
      </c>
      <c r="AL16" s="3" t="s">
        <v>231</v>
      </c>
      <c r="AM16" s="3" t="s">
        <v>232</v>
      </c>
      <c r="AN16" s="3" t="s">
        <v>233</v>
      </c>
      <c r="AO16" s="3" t="s">
        <v>149</v>
      </c>
      <c r="AP16" s="3" t="s">
        <v>234</v>
      </c>
      <c r="AQ16" s="3" t="s">
        <v>235</v>
      </c>
      <c r="AR16" s="3" t="s">
        <v>236</v>
      </c>
      <c r="AS16" s="3" t="s">
        <v>237</v>
      </c>
    </row>
    <row r="17">
      <c r="A17" s="14" t="str">
        <f>IF(Dashboard!A15="","",Dashboard!A15)</f>
        <v>ChromeT</v>
      </c>
      <c r="B17" s="73">
        <f>IF(OR(A17="",Dashboard!B15=""),0,Dashboard!B15)</f>
        <v>2531</v>
      </c>
      <c r="C17" s="14" t="str">
        <f>Dashboard!E15</f>
        <v>Habis</v>
      </c>
      <c r="D17" s="25">
        <f>IF(A17="",0,Setting!E44)</f>
        <v>61</v>
      </c>
      <c r="E17" s="14">
        <f t="shared" ref="E17:E24" si="27">IF(AND($A17&lt;&gt;"",$B17&gt;0,$B$5&lt;&gt;"",$B17&gt;=$E$5),$D$5,0)</f>
        <v>300000</v>
      </c>
      <c r="F17" s="14">
        <f t="shared" ref="F17:F24" si="28">IF(AND($A17&lt;&gt;"",$B17&gt;0,$B$6&lt;&gt;"",$B17&gt;=$E$6),$D$6,0)</f>
        <v>400000</v>
      </c>
      <c r="G17" s="14">
        <f t="shared" ref="G17:G24" si="29">IF(AND($A17&lt;&gt;"",$B17&gt;0,$B$7&lt;&gt;"",$B17&gt;=$E$7),$D$7,0)</f>
        <v>300000</v>
      </c>
      <c r="H17" s="14">
        <f t="shared" ref="H17:H24" si="30">IF(AND($A17&lt;&gt;"",$B17&gt;0,$B$8&lt;&gt;"",$B17&gt;=$E$8),$D$8,0)</f>
        <v>360000</v>
      </c>
      <c r="I17" s="14">
        <f t="shared" ref="I17:I24" si="31">IF(AND($A17&lt;&gt;"",$B17&gt;0,$B$9&lt;&gt;"",$B17&gt;=$E$9),$D$9,0)</f>
        <v>420000</v>
      </c>
      <c r="J17" s="14">
        <f t="shared" ref="J17:J24" si="32">IF(AND($A17&lt;&gt;"",$B17&gt;0,$B$10&lt;&gt;"",$B17&gt;=$E$10),$D$10,0)</f>
        <v>480000</v>
      </c>
      <c r="K17" s="14">
        <f t="shared" ref="K17:K24" si="33">IF(AND($A17&lt;&gt;"",$B17&gt;0,$B$11&lt;&gt;"",$B17&gt;=$E$11),$D$11,0)</f>
        <v>0</v>
      </c>
      <c r="L17" s="14">
        <f t="shared" ref="L17:L24" si="34">IF(AND($A17&lt;&gt;"",$B17&gt;0,$B$12&lt;&gt;"",$B17&gt;=$E$12),$D$12,0)</f>
        <v>0</v>
      </c>
      <c r="M17" s="14">
        <f t="shared" ref="M17:M24" si="35">MAX(E17:L17)</f>
        <v>480000</v>
      </c>
      <c r="N17" s="14">
        <f t="shared" ref="N17:N24" si="36">IF(M17=0,0,MATCH(M17,E17:L17,0))</f>
        <v>6</v>
      </c>
      <c r="O17" s="14">
        <f t="shared" ref="O17:O24" si="37">IF(E17&gt;0,$L$5,0)</f>
        <v>60000</v>
      </c>
      <c r="P17" s="14">
        <f t="shared" ref="P17:P24" si="38">IF(F17&gt;0,$L$6,0)</f>
        <v>80000</v>
      </c>
      <c r="Q17" s="14">
        <f t="shared" ref="Q17:Q24" si="39">IF(G17&gt;0,$L$7,0)</f>
        <v>240000</v>
      </c>
      <c r="R17" s="14">
        <f t="shared" ref="R17:R24" si="40">IF(H17&gt;0,$L$8,0)</f>
        <v>288000</v>
      </c>
      <c r="S17" s="14">
        <f t="shared" ref="S17:S24" si="41">IF(I17&gt;0,$L$9,0)</f>
        <v>336000</v>
      </c>
      <c r="T17" s="14">
        <f t="shared" ref="T17:T24" si="42">IF(J17&gt;0,$L$10,0)</f>
        <v>384000</v>
      </c>
      <c r="U17" s="14">
        <f t="shared" ref="U17:U24" si="43">IF(K17&gt;0,$L$11,0)</f>
        <v>0</v>
      </c>
      <c r="V17" s="14">
        <f t="shared" ref="V17:V24" si="44">IF(L17&gt;0,$L$12,0)</f>
        <v>0</v>
      </c>
      <c r="W17" s="14">
        <f t="shared" ref="W17:W24" si="45">MAX(O17:V17)</f>
        <v>384000</v>
      </c>
      <c r="X17" s="14">
        <f t="shared" ref="X17:X24" si="46">IF(W17=0,0,MATCH(W17,O17:V17,0))</f>
        <v>6</v>
      </c>
      <c r="Y17" s="14" t="str">
        <f t="shared" ref="Y17:Y24" si="47">IF(X17=0,"-",INDEX($B$5:$B$12,X17))</f>
        <v>S4</v>
      </c>
      <c r="Z17" s="14">
        <f t="shared" ref="Z17:Z24" si="48">IF(X17=0,0,INDEX($H$5:$H$12,X17))</f>
        <v>480000</v>
      </c>
      <c r="AA17" s="14">
        <f t="shared" ref="AA17:AA24" si="49">IF(A17="","",IF(AND(C17="Tersedia",X17&gt;0),Z17+(100-ROW())/10000000,-ROW()))</f>
        <v>-17</v>
      </c>
      <c r="AB17" s="14">
        <f t="shared" ref="AB17:AB24" si="50">IF(A17="","",RANK(AA17,$AA$17:$AA$24))</f>
        <v>8</v>
      </c>
      <c r="AK17" s="14">
        <f>MAX(Hitung2!AI20:AI27)</f>
        <v>0</v>
      </c>
      <c r="AL17" s="14">
        <f>IF(AK17&lt;=0,0,MATCH(AK17,Hitung2!AI20:AI27,0))</f>
        <v>0</v>
      </c>
      <c r="AM17" s="14" t="str">
        <f t="shared" ref="AM17:AM24" si="51">IF(AL17=0,"-",INDEX($B$5:$B$12,AL17))</f>
        <v>-</v>
      </c>
      <c r="AN17" s="14">
        <f t="shared" ref="AN17:AN24" si="52">IF(AL17=0,0,INDEX($E$5:$E$12,AL17))</f>
        <v>0</v>
      </c>
      <c r="AO17" s="14">
        <f t="shared" ref="AO17:AO24" si="53">IF(AL17=0,0,AN17-B17)</f>
        <v>0</v>
      </c>
      <c r="AP17" s="14">
        <f t="shared" ref="AP17:AP24" si="54">IF(OR(AL17=0,D17=0),0,AQ17/D17)</f>
        <v>0</v>
      </c>
      <c r="AQ17" s="14">
        <f t="array" ref="AQ17">IF(AL17=0,0,INDEX(Hitung2!AG20:AG27,AL17))</f>
        <v>0</v>
      </c>
      <c r="AR17" s="14">
        <f t="shared" ref="AR17:AR24" si="55">IF(A17="","",IF(AK17&gt;0,AK17+(100-ROW())/1000000,-ROW()))</f>
        <v>-17</v>
      </c>
      <c r="AS17" s="14">
        <f t="shared" ref="AS17:AS24" si="56">IF(A17="","",RANK(AR17,$AR$17:$AR$24))</f>
        <v>8</v>
      </c>
    </row>
    <row r="18">
      <c r="A18" s="14" t="str">
        <f>IF(Dashboard!A16="","",Dashboard!A16)</f>
        <v>Roxarika</v>
      </c>
      <c r="B18" s="73">
        <f>IF(OR(A18="",Dashboard!B16=""),0,Dashboard!B16)</f>
        <v>1855</v>
      </c>
      <c r="C18" s="14" t="str">
        <f>Dashboard!E16</f>
        <v>Tersedia</v>
      </c>
      <c r="D18" s="25">
        <f>IF(A18="",0,Setting!E45)</f>
        <v>21</v>
      </c>
      <c r="E18" s="14">
        <f t="shared" si="27"/>
        <v>300000</v>
      </c>
      <c r="F18" s="14">
        <f t="shared" si="28"/>
        <v>0</v>
      </c>
      <c r="G18" s="14">
        <f t="shared" si="29"/>
        <v>300000</v>
      </c>
      <c r="H18" s="14">
        <f t="shared" si="30"/>
        <v>0</v>
      </c>
      <c r="I18" s="14">
        <f t="shared" si="31"/>
        <v>0</v>
      </c>
      <c r="J18" s="14">
        <f t="shared" si="32"/>
        <v>0</v>
      </c>
      <c r="K18" s="14">
        <f t="shared" si="33"/>
        <v>0</v>
      </c>
      <c r="L18" s="14">
        <f t="shared" si="34"/>
        <v>0</v>
      </c>
      <c r="M18" s="14">
        <f t="shared" si="35"/>
        <v>300000</v>
      </c>
      <c r="N18" s="14">
        <f t="shared" si="36"/>
        <v>1</v>
      </c>
      <c r="O18" s="14">
        <f t="shared" si="37"/>
        <v>60000</v>
      </c>
      <c r="P18" s="14">
        <f t="shared" si="38"/>
        <v>0</v>
      </c>
      <c r="Q18" s="14">
        <f t="shared" si="39"/>
        <v>240000</v>
      </c>
      <c r="R18" s="14">
        <f t="shared" si="40"/>
        <v>0</v>
      </c>
      <c r="S18" s="14">
        <f t="shared" si="41"/>
        <v>0</v>
      </c>
      <c r="T18" s="14">
        <f t="shared" si="42"/>
        <v>0</v>
      </c>
      <c r="U18" s="14">
        <f t="shared" si="43"/>
        <v>0</v>
      </c>
      <c r="V18" s="14">
        <f t="shared" si="44"/>
        <v>0</v>
      </c>
      <c r="W18" s="14">
        <f t="shared" si="45"/>
        <v>240000</v>
      </c>
      <c r="X18" s="14">
        <f t="shared" si="46"/>
        <v>3</v>
      </c>
      <c r="Y18" s="14" t="str">
        <f t="shared" si="47"/>
        <v>S1</v>
      </c>
      <c r="Z18" s="14">
        <f t="shared" si="48"/>
        <v>300000</v>
      </c>
      <c r="AA18" s="14">
        <f t="shared" si="49"/>
        <v>300000</v>
      </c>
      <c r="AB18" s="14">
        <f t="shared" si="50"/>
        <v>1</v>
      </c>
      <c r="AK18" s="14">
        <f>MAX(Hitung2!AI28:AI35)</f>
        <v>19200</v>
      </c>
      <c r="AL18" s="14">
        <f>IF(AK18&lt;=0,0,MATCH(AK18,Hitung2!AI28:AI35,0))</f>
        <v>4</v>
      </c>
      <c r="AM18" s="14" t="str">
        <f t="shared" si="51"/>
        <v>S2</v>
      </c>
      <c r="AN18" s="14">
        <f t="shared" si="52"/>
        <v>1900</v>
      </c>
      <c r="AO18" s="73">
        <f t="shared" si="53"/>
        <v>45</v>
      </c>
      <c r="AP18" s="14">
        <f t="shared" si="54"/>
        <v>41142.85714</v>
      </c>
      <c r="AQ18" s="14">
        <f t="array" ref="AQ18">IF(AL18=0,0,INDEX(Hitung2!AG28:AG35,AL18))</f>
        <v>864000</v>
      </c>
      <c r="AR18" s="14">
        <f t="shared" si="55"/>
        <v>19200.00008</v>
      </c>
      <c r="AS18" s="14">
        <f t="shared" si="56"/>
        <v>1</v>
      </c>
    </row>
    <row r="19">
      <c r="A19" s="14" t="str">
        <f>IF(Dashboard!A17="","",Dashboard!A17)</f>
        <v>Crosley</v>
      </c>
      <c r="B19" s="73">
        <f>IF(OR(A19="",Dashboard!B17=""),0,Dashboard!B17)</f>
        <v>1595</v>
      </c>
      <c r="C19" s="14" t="str">
        <f>Dashboard!E17</f>
        <v>Tersedia</v>
      </c>
      <c r="D19" s="25">
        <f>IF(A19="",0,Setting!E46)</f>
        <v>21</v>
      </c>
      <c r="E19" s="14">
        <f t="shared" si="27"/>
        <v>300000</v>
      </c>
      <c r="F19" s="14">
        <f t="shared" si="28"/>
        <v>0</v>
      </c>
      <c r="G19" s="14">
        <f t="shared" si="29"/>
        <v>0</v>
      </c>
      <c r="H19" s="14">
        <f t="shared" si="30"/>
        <v>0</v>
      </c>
      <c r="I19" s="14">
        <f t="shared" si="31"/>
        <v>0</v>
      </c>
      <c r="J19" s="14">
        <f t="shared" si="32"/>
        <v>0</v>
      </c>
      <c r="K19" s="14">
        <f t="shared" si="33"/>
        <v>0</v>
      </c>
      <c r="L19" s="14">
        <f t="shared" si="34"/>
        <v>0</v>
      </c>
      <c r="M19" s="14">
        <f t="shared" si="35"/>
        <v>300000</v>
      </c>
      <c r="N19" s="14">
        <f t="shared" si="36"/>
        <v>1</v>
      </c>
      <c r="O19" s="14">
        <f t="shared" si="37"/>
        <v>60000</v>
      </c>
      <c r="P19" s="14">
        <f t="shared" si="38"/>
        <v>0</v>
      </c>
      <c r="Q19" s="14">
        <f t="shared" si="39"/>
        <v>0</v>
      </c>
      <c r="R19" s="14">
        <f t="shared" si="40"/>
        <v>0</v>
      </c>
      <c r="S19" s="14">
        <f t="shared" si="41"/>
        <v>0</v>
      </c>
      <c r="T19" s="14">
        <f t="shared" si="42"/>
        <v>0</v>
      </c>
      <c r="U19" s="14">
        <f t="shared" si="43"/>
        <v>0</v>
      </c>
      <c r="V19" s="14">
        <f t="shared" si="44"/>
        <v>0</v>
      </c>
      <c r="W19" s="14">
        <f t="shared" si="45"/>
        <v>60000</v>
      </c>
      <c r="X19" s="14">
        <f t="shared" si="46"/>
        <v>1</v>
      </c>
      <c r="Y19" s="14" t="str">
        <f t="shared" si="47"/>
        <v>T2</v>
      </c>
      <c r="Z19" s="14">
        <f t="shared" si="48"/>
        <v>300000</v>
      </c>
      <c r="AA19" s="14">
        <f t="shared" si="49"/>
        <v>300000</v>
      </c>
      <c r="AB19" s="14">
        <f t="shared" si="50"/>
        <v>2</v>
      </c>
      <c r="AK19" s="14">
        <f>MAX(Hitung2!AI36:AI43)</f>
        <v>4158.415842</v>
      </c>
      <c r="AL19" s="14">
        <f>IF(AK19&lt;=0,0,MATCH(AK19,Hitung2!AI36:AI43,0))</f>
        <v>2</v>
      </c>
      <c r="AM19" s="14" t="str">
        <f t="shared" si="51"/>
        <v>T3</v>
      </c>
      <c r="AN19" s="14">
        <f t="shared" si="52"/>
        <v>2100</v>
      </c>
      <c r="AO19" s="73">
        <f t="shared" si="53"/>
        <v>505</v>
      </c>
      <c r="AP19" s="14">
        <f t="shared" si="54"/>
        <v>100000</v>
      </c>
      <c r="AQ19" s="14">
        <f t="array" ref="AQ19">IF(AL19=0,0,INDEX(Hitung2!AG36:AG43,AL19))</f>
        <v>2100000</v>
      </c>
      <c r="AR19" s="14">
        <f t="shared" si="55"/>
        <v>4158.415923</v>
      </c>
      <c r="AS19" s="14">
        <f t="shared" si="56"/>
        <v>3</v>
      </c>
    </row>
    <row r="20">
      <c r="A20" s="14" t="str">
        <f>IF(Dashboard!A18="","",Dashboard!A18)</f>
        <v>Nathanael</v>
      </c>
      <c r="B20" s="73">
        <f>IF(OR(A20="",Dashboard!B18=""),0,Dashboard!B18)</f>
        <v>1578</v>
      </c>
      <c r="C20" s="14" t="str">
        <f>Dashboard!E18</f>
        <v>Tersedia</v>
      </c>
      <c r="D20" s="25">
        <f>IF(A20="",0,Setting!E47)</f>
        <v>21</v>
      </c>
      <c r="E20" s="14">
        <f t="shared" si="27"/>
        <v>300000</v>
      </c>
      <c r="F20" s="14">
        <f t="shared" si="28"/>
        <v>0</v>
      </c>
      <c r="G20" s="14">
        <f t="shared" si="29"/>
        <v>0</v>
      </c>
      <c r="H20" s="14">
        <f t="shared" si="30"/>
        <v>0</v>
      </c>
      <c r="I20" s="14">
        <f t="shared" si="31"/>
        <v>0</v>
      </c>
      <c r="J20" s="14">
        <f t="shared" si="32"/>
        <v>0</v>
      </c>
      <c r="K20" s="14">
        <f t="shared" si="33"/>
        <v>0</v>
      </c>
      <c r="L20" s="14">
        <f t="shared" si="34"/>
        <v>0</v>
      </c>
      <c r="M20" s="14">
        <f t="shared" si="35"/>
        <v>300000</v>
      </c>
      <c r="N20" s="14">
        <f t="shared" si="36"/>
        <v>1</v>
      </c>
      <c r="O20" s="14">
        <f t="shared" si="37"/>
        <v>60000</v>
      </c>
      <c r="P20" s="14">
        <f t="shared" si="38"/>
        <v>0</v>
      </c>
      <c r="Q20" s="14">
        <f t="shared" si="39"/>
        <v>0</v>
      </c>
      <c r="R20" s="14">
        <f t="shared" si="40"/>
        <v>0</v>
      </c>
      <c r="S20" s="14">
        <f t="shared" si="41"/>
        <v>0</v>
      </c>
      <c r="T20" s="14">
        <f t="shared" si="42"/>
        <v>0</v>
      </c>
      <c r="U20" s="14">
        <f t="shared" si="43"/>
        <v>0</v>
      </c>
      <c r="V20" s="14">
        <f t="shared" si="44"/>
        <v>0</v>
      </c>
      <c r="W20" s="14">
        <f t="shared" si="45"/>
        <v>60000</v>
      </c>
      <c r="X20" s="14">
        <f t="shared" si="46"/>
        <v>1</v>
      </c>
      <c r="Y20" s="14" t="str">
        <f t="shared" si="47"/>
        <v>T2</v>
      </c>
      <c r="Z20" s="14">
        <f t="shared" si="48"/>
        <v>300000</v>
      </c>
      <c r="AA20" s="14">
        <f t="shared" si="49"/>
        <v>300000</v>
      </c>
      <c r="AB20" s="14">
        <f t="shared" si="50"/>
        <v>3</v>
      </c>
      <c r="AK20" s="14">
        <f>MAX(Hitung2!AI44:AI51)</f>
        <v>4022.988506</v>
      </c>
      <c r="AL20" s="14">
        <f>IF(AK20&lt;=0,0,MATCH(AK20,Hitung2!AI44:AI51,0))</f>
        <v>2</v>
      </c>
      <c r="AM20" s="14" t="str">
        <f t="shared" si="51"/>
        <v>T3</v>
      </c>
      <c r="AN20" s="14">
        <f t="shared" si="52"/>
        <v>2100</v>
      </c>
      <c r="AO20" s="73">
        <f t="shared" si="53"/>
        <v>522</v>
      </c>
      <c r="AP20" s="14">
        <f t="shared" si="54"/>
        <v>100000</v>
      </c>
      <c r="AQ20" s="14">
        <f t="array" ref="AQ20">IF(AL20=0,0,INDEX(Hitung2!AG44:AG51,AL20))</f>
        <v>2100000</v>
      </c>
      <c r="AR20" s="14">
        <f t="shared" si="55"/>
        <v>4022.988586</v>
      </c>
      <c r="AS20" s="14">
        <f t="shared" si="56"/>
        <v>5</v>
      </c>
    </row>
    <row r="21" ht="15.75" customHeight="1">
      <c r="A21" s="14" t="str">
        <f>IF(Dashboard!A19="","",Dashboard!A19)</f>
        <v>Cicero</v>
      </c>
      <c r="B21" s="73">
        <f>IF(OR(A21="",Dashboard!B19=""),0,Dashboard!B19)</f>
        <v>1502</v>
      </c>
      <c r="C21" s="14" t="str">
        <f>Dashboard!E19</f>
        <v>Tersedia</v>
      </c>
      <c r="D21" s="25">
        <f>IF(A21="",0,Setting!E48)</f>
        <v>21</v>
      </c>
      <c r="E21" s="14">
        <f t="shared" si="27"/>
        <v>300000</v>
      </c>
      <c r="F21" s="14">
        <f t="shared" si="28"/>
        <v>0</v>
      </c>
      <c r="G21" s="14">
        <f t="shared" si="29"/>
        <v>0</v>
      </c>
      <c r="H21" s="14">
        <f t="shared" si="30"/>
        <v>0</v>
      </c>
      <c r="I21" s="14">
        <f t="shared" si="31"/>
        <v>0</v>
      </c>
      <c r="J21" s="14">
        <f t="shared" si="32"/>
        <v>0</v>
      </c>
      <c r="K21" s="14">
        <f t="shared" si="33"/>
        <v>0</v>
      </c>
      <c r="L21" s="14">
        <f t="shared" si="34"/>
        <v>0</v>
      </c>
      <c r="M21" s="14">
        <f t="shared" si="35"/>
        <v>300000</v>
      </c>
      <c r="N21" s="14">
        <f t="shared" si="36"/>
        <v>1</v>
      </c>
      <c r="O21" s="14">
        <f t="shared" si="37"/>
        <v>60000</v>
      </c>
      <c r="P21" s="14">
        <f t="shared" si="38"/>
        <v>0</v>
      </c>
      <c r="Q21" s="14">
        <f t="shared" si="39"/>
        <v>0</v>
      </c>
      <c r="R21" s="14">
        <f t="shared" si="40"/>
        <v>0</v>
      </c>
      <c r="S21" s="14">
        <f t="shared" si="41"/>
        <v>0</v>
      </c>
      <c r="T21" s="14">
        <f t="shared" si="42"/>
        <v>0</v>
      </c>
      <c r="U21" s="14">
        <f t="shared" si="43"/>
        <v>0</v>
      </c>
      <c r="V21" s="14">
        <f t="shared" si="44"/>
        <v>0</v>
      </c>
      <c r="W21" s="14">
        <f t="shared" si="45"/>
        <v>60000</v>
      </c>
      <c r="X21" s="14">
        <f t="shared" si="46"/>
        <v>1</v>
      </c>
      <c r="Y21" s="14" t="str">
        <f t="shared" si="47"/>
        <v>T2</v>
      </c>
      <c r="Z21" s="14">
        <f t="shared" si="48"/>
        <v>300000</v>
      </c>
      <c r="AA21" s="14">
        <f t="shared" si="49"/>
        <v>300000</v>
      </c>
      <c r="AB21" s="14">
        <f t="shared" si="50"/>
        <v>4</v>
      </c>
      <c r="AK21" s="14">
        <f>MAX(Hitung2!AI52:AI59)</f>
        <v>3511.705686</v>
      </c>
      <c r="AL21" s="14">
        <f>IF(AK21&lt;=0,0,MATCH(AK21,Hitung2!AI52:AI59,0))</f>
        <v>2</v>
      </c>
      <c r="AM21" s="14" t="str">
        <f t="shared" si="51"/>
        <v>T3</v>
      </c>
      <c r="AN21" s="14">
        <f t="shared" si="52"/>
        <v>2100</v>
      </c>
      <c r="AO21" s="73">
        <f t="shared" si="53"/>
        <v>598</v>
      </c>
      <c r="AP21" s="14">
        <f t="shared" si="54"/>
        <v>100000</v>
      </c>
      <c r="AQ21" s="14">
        <f t="array" ref="AQ21">IF(AL21=0,0,INDEX(Hitung2!AG52:AG59,AL21))</f>
        <v>2100000</v>
      </c>
      <c r="AR21" s="14">
        <f t="shared" si="55"/>
        <v>3511.705765</v>
      </c>
      <c r="AS21" s="14">
        <f t="shared" si="56"/>
        <v>7</v>
      </c>
    </row>
    <row r="22" ht="15.75" customHeight="1">
      <c r="A22" s="14" t="str">
        <f>IF(Dashboard!A20="","",Dashboard!A20)</f>
        <v>Seneca</v>
      </c>
      <c r="B22" s="73">
        <f>IF(OR(A22="",Dashboard!B20=""),0,Dashboard!B20)</f>
        <v>1604</v>
      </c>
      <c r="C22" s="14" t="str">
        <f>Dashboard!E20</f>
        <v>Tersedia</v>
      </c>
      <c r="D22" s="25">
        <f>IF(A22="",0,Setting!E49)</f>
        <v>21</v>
      </c>
      <c r="E22" s="14">
        <f t="shared" si="27"/>
        <v>300000</v>
      </c>
      <c r="F22" s="14">
        <f t="shared" si="28"/>
        <v>0</v>
      </c>
      <c r="G22" s="14">
        <f t="shared" si="29"/>
        <v>300000</v>
      </c>
      <c r="H22" s="14">
        <f t="shared" si="30"/>
        <v>0</v>
      </c>
      <c r="I22" s="14">
        <f t="shared" si="31"/>
        <v>0</v>
      </c>
      <c r="J22" s="14">
        <f t="shared" si="32"/>
        <v>0</v>
      </c>
      <c r="K22" s="14">
        <f t="shared" si="33"/>
        <v>0</v>
      </c>
      <c r="L22" s="14">
        <f t="shared" si="34"/>
        <v>0</v>
      </c>
      <c r="M22" s="14">
        <f t="shared" si="35"/>
        <v>300000</v>
      </c>
      <c r="N22" s="14">
        <f t="shared" si="36"/>
        <v>1</v>
      </c>
      <c r="O22" s="14">
        <f t="shared" si="37"/>
        <v>60000</v>
      </c>
      <c r="P22" s="14">
        <f t="shared" si="38"/>
        <v>0</v>
      </c>
      <c r="Q22" s="14">
        <f t="shared" si="39"/>
        <v>240000</v>
      </c>
      <c r="R22" s="14">
        <f t="shared" si="40"/>
        <v>0</v>
      </c>
      <c r="S22" s="14">
        <f t="shared" si="41"/>
        <v>0</v>
      </c>
      <c r="T22" s="14">
        <f t="shared" si="42"/>
        <v>0</v>
      </c>
      <c r="U22" s="14">
        <f t="shared" si="43"/>
        <v>0</v>
      </c>
      <c r="V22" s="14">
        <f t="shared" si="44"/>
        <v>0</v>
      </c>
      <c r="W22" s="14">
        <f t="shared" si="45"/>
        <v>240000</v>
      </c>
      <c r="X22" s="14">
        <f t="shared" si="46"/>
        <v>3</v>
      </c>
      <c r="Y22" s="14" t="str">
        <f t="shared" si="47"/>
        <v>S1</v>
      </c>
      <c r="Z22" s="14">
        <f t="shared" si="48"/>
        <v>300000</v>
      </c>
      <c r="AA22" s="14">
        <f t="shared" si="49"/>
        <v>300000</v>
      </c>
      <c r="AB22" s="14">
        <f t="shared" si="50"/>
        <v>5</v>
      </c>
      <c r="AK22" s="14">
        <f>MAX(Hitung2!AI60:AI67)</f>
        <v>7137.096774</v>
      </c>
      <c r="AL22" s="14">
        <f>IF(AK22&lt;=0,0,MATCH(AK22,Hitung2!AI60:AI67,0))</f>
        <v>2</v>
      </c>
      <c r="AM22" s="14" t="str">
        <f t="shared" si="51"/>
        <v>T3</v>
      </c>
      <c r="AN22" s="14">
        <f t="shared" si="52"/>
        <v>2100</v>
      </c>
      <c r="AO22" s="73">
        <f t="shared" si="53"/>
        <v>496</v>
      </c>
      <c r="AP22" s="14">
        <f t="shared" si="54"/>
        <v>168571.4286</v>
      </c>
      <c r="AQ22" s="14">
        <f t="array" ref="AQ22">IF(AL22=0,0,INDEX(Hitung2!AG60:AG67,AL22))</f>
        <v>3540000</v>
      </c>
      <c r="AR22" s="14">
        <f t="shared" si="55"/>
        <v>7137.096852</v>
      </c>
      <c r="AS22" s="14">
        <f t="shared" si="56"/>
        <v>2</v>
      </c>
    </row>
    <row r="23" ht="15.75" customHeight="1">
      <c r="A23" s="14" t="str">
        <f>IF(Dashboard!A21="","",Dashboard!A21)</f>
        <v>Averroes</v>
      </c>
      <c r="B23" s="73">
        <f>IF(OR(A23="",Dashboard!B21=""),0,Dashboard!B21)</f>
        <v>1595</v>
      </c>
      <c r="C23" s="14" t="str">
        <f>Dashboard!E21</f>
        <v>Tersedia</v>
      </c>
      <c r="D23" s="25">
        <f>IF(A23="",0,Setting!E50)</f>
        <v>21</v>
      </c>
      <c r="E23" s="14">
        <f t="shared" si="27"/>
        <v>300000</v>
      </c>
      <c r="F23" s="14">
        <f t="shared" si="28"/>
        <v>0</v>
      </c>
      <c r="G23" s="14">
        <f t="shared" si="29"/>
        <v>0</v>
      </c>
      <c r="H23" s="14">
        <f t="shared" si="30"/>
        <v>0</v>
      </c>
      <c r="I23" s="14">
        <f t="shared" si="31"/>
        <v>0</v>
      </c>
      <c r="J23" s="14">
        <f t="shared" si="32"/>
        <v>0</v>
      </c>
      <c r="K23" s="14">
        <f t="shared" si="33"/>
        <v>0</v>
      </c>
      <c r="L23" s="14">
        <f t="shared" si="34"/>
        <v>0</v>
      </c>
      <c r="M23" s="14">
        <f t="shared" si="35"/>
        <v>300000</v>
      </c>
      <c r="N23" s="14">
        <f t="shared" si="36"/>
        <v>1</v>
      </c>
      <c r="O23" s="14">
        <f t="shared" si="37"/>
        <v>60000</v>
      </c>
      <c r="P23" s="14">
        <f t="shared" si="38"/>
        <v>0</v>
      </c>
      <c r="Q23" s="14">
        <f t="shared" si="39"/>
        <v>0</v>
      </c>
      <c r="R23" s="14">
        <f t="shared" si="40"/>
        <v>0</v>
      </c>
      <c r="S23" s="14">
        <f t="shared" si="41"/>
        <v>0</v>
      </c>
      <c r="T23" s="14">
        <f t="shared" si="42"/>
        <v>0</v>
      </c>
      <c r="U23" s="14">
        <f t="shared" si="43"/>
        <v>0</v>
      </c>
      <c r="V23" s="14">
        <f t="shared" si="44"/>
        <v>0</v>
      </c>
      <c r="W23" s="14">
        <f t="shared" si="45"/>
        <v>60000</v>
      </c>
      <c r="X23" s="14">
        <f t="shared" si="46"/>
        <v>1</v>
      </c>
      <c r="Y23" s="14" t="str">
        <f t="shared" si="47"/>
        <v>T2</v>
      </c>
      <c r="Z23" s="14">
        <f t="shared" si="48"/>
        <v>300000</v>
      </c>
      <c r="AA23" s="14">
        <f t="shared" si="49"/>
        <v>300000</v>
      </c>
      <c r="AB23" s="14">
        <f t="shared" si="50"/>
        <v>6</v>
      </c>
      <c r="AK23" s="14">
        <f>MAX(Hitung2!AI68:AI75)</f>
        <v>4158.415842</v>
      </c>
      <c r="AL23" s="14">
        <f>IF(AK23&lt;=0,0,MATCH(AK23,Hitung2!AI68:AI75,0))</f>
        <v>2</v>
      </c>
      <c r="AM23" s="14" t="str">
        <f t="shared" si="51"/>
        <v>T3</v>
      </c>
      <c r="AN23" s="14">
        <f t="shared" si="52"/>
        <v>2100</v>
      </c>
      <c r="AO23" s="73">
        <f t="shared" si="53"/>
        <v>505</v>
      </c>
      <c r="AP23" s="14">
        <f t="shared" si="54"/>
        <v>100000</v>
      </c>
      <c r="AQ23" s="14">
        <f t="array" ref="AQ23">IF(AL23=0,0,INDEX(Hitung2!AG68:AG75,AL23))</f>
        <v>2100000</v>
      </c>
      <c r="AR23" s="14">
        <f t="shared" si="55"/>
        <v>4158.415919</v>
      </c>
      <c r="AS23" s="14">
        <f t="shared" si="56"/>
        <v>4</v>
      </c>
    </row>
    <row r="24" ht="15.75" customHeight="1">
      <c r="A24" s="14" t="str">
        <f>IF(Dashboard!A22="","",Dashboard!A22)</f>
        <v>Claudius</v>
      </c>
      <c r="B24" s="73">
        <f>IF(OR(A24="",Dashboard!B22=""),0,Dashboard!B22)</f>
        <v>1558</v>
      </c>
      <c r="C24" s="14" t="str">
        <f>Dashboard!E22</f>
        <v>Tersedia</v>
      </c>
      <c r="D24" s="25">
        <f>IF(A24="",0,Setting!E51)</f>
        <v>21</v>
      </c>
      <c r="E24" s="14">
        <f t="shared" si="27"/>
        <v>300000</v>
      </c>
      <c r="F24" s="14">
        <f t="shared" si="28"/>
        <v>0</v>
      </c>
      <c r="G24" s="14">
        <f t="shared" si="29"/>
        <v>0</v>
      </c>
      <c r="H24" s="14">
        <f t="shared" si="30"/>
        <v>0</v>
      </c>
      <c r="I24" s="14">
        <f t="shared" si="31"/>
        <v>0</v>
      </c>
      <c r="J24" s="14">
        <f t="shared" si="32"/>
        <v>0</v>
      </c>
      <c r="K24" s="14">
        <f t="shared" si="33"/>
        <v>0</v>
      </c>
      <c r="L24" s="14">
        <f t="shared" si="34"/>
        <v>0</v>
      </c>
      <c r="M24" s="14">
        <f t="shared" si="35"/>
        <v>300000</v>
      </c>
      <c r="N24" s="14">
        <f t="shared" si="36"/>
        <v>1</v>
      </c>
      <c r="O24" s="14">
        <f t="shared" si="37"/>
        <v>60000</v>
      </c>
      <c r="P24" s="14">
        <f t="shared" si="38"/>
        <v>0</v>
      </c>
      <c r="Q24" s="14">
        <f t="shared" si="39"/>
        <v>0</v>
      </c>
      <c r="R24" s="14">
        <f t="shared" si="40"/>
        <v>0</v>
      </c>
      <c r="S24" s="14">
        <f t="shared" si="41"/>
        <v>0</v>
      </c>
      <c r="T24" s="14">
        <f t="shared" si="42"/>
        <v>0</v>
      </c>
      <c r="U24" s="14">
        <f t="shared" si="43"/>
        <v>0</v>
      </c>
      <c r="V24" s="14">
        <f t="shared" si="44"/>
        <v>0</v>
      </c>
      <c r="W24" s="14">
        <f t="shared" si="45"/>
        <v>60000</v>
      </c>
      <c r="X24" s="14">
        <f t="shared" si="46"/>
        <v>1</v>
      </c>
      <c r="Y24" s="14" t="str">
        <f t="shared" si="47"/>
        <v>T2</v>
      </c>
      <c r="Z24" s="14">
        <f t="shared" si="48"/>
        <v>300000</v>
      </c>
      <c r="AA24" s="14">
        <f t="shared" si="49"/>
        <v>300000</v>
      </c>
      <c r="AB24" s="14">
        <f t="shared" si="50"/>
        <v>7</v>
      </c>
      <c r="AK24" s="14">
        <f>MAX(Hitung2!AI76:AI83)</f>
        <v>3874.538745</v>
      </c>
      <c r="AL24" s="14">
        <f>IF(AK24&lt;=0,0,MATCH(AK24,Hitung2!AI76:AI83,0))</f>
        <v>2</v>
      </c>
      <c r="AM24" s="14" t="str">
        <f t="shared" si="51"/>
        <v>T3</v>
      </c>
      <c r="AN24" s="14">
        <f t="shared" si="52"/>
        <v>2100</v>
      </c>
      <c r="AO24" s="73">
        <f t="shared" si="53"/>
        <v>542</v>
      </c>
      <c r="AP24" s="14">
        <f t="shared" si="54"/>
        <v>100000</v>
      </c>
      <c r="AQ24" s="14">
        <f t="array" ref="AQ24">IF(AL24=0,0,INDEX(Hitung2!AG76:AG83,AL24))</f>
        <v>2100000</v>
      </c>
      <c r="AR24" s="14">
        <f t="shared" si="55"/>
        <v>3874.538821</v>
      </c>
      <c r="AS24" s="14">
        <f t="shared" si="56"/>
        <v>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9" width="8.71"/>
  </cols>
  <sheetData>
    <row r="1">
      <c r="A1" s="1" t="s">
        <v>161</v>
      </c>
    </row>
    <row r="2">
      <c r="A2" s="2" t="s">
        <v>162</v>
      </c>
    </row>
    <row r="3">
      <c r="A3" s="2" t="s">
        <v>163</v>
      </c>
    </row>
    <row r="4" ht="19.5" customHeight="1">
      <c r="A4" s="3" t="s">
        <v>16</v>
      </c>
      <c r="B4" s="3" t="s">
        <v>164</v>
      </c>
      <c r="C4" s="3" t="s">
        <v>165</v>
      </c>
      <c r="D4" s="3" t="s">
        <v>166</v>
      </c>
      <c r="E4" s="3" t="s">
        <v>167</v>
      </c>
      <c r="F4" s="3" t="s">
        <v>168</v>
      </c>
      <c r="G4" s="3" t="s">
        <v>169</v>
      </c>
      <c r="H4" s="3" t="s">
        <v>170</v>
      </c>
      <c r="I4" s="3" t="s">
        <v>171</v>
      </c>
      <c r="AK4" s="3" t="s">
        <v>172</v>
      </c>
      <c r="AL4" s="3" t="s">
        <v>78</v>
      </c>
      <c r="AM4" s="3" t="s">
        <v>91</v>
      </c>
    </row>
    <row r="5">
      <c r="A5" s="14" t="str">
        <f>Hitung!B5</f>
        <v>T2</v>
      </c>
      <c r="B5" s="14">
        <f>IF(AND(Hitung!$B5&lt;&gt;"",Hitung!$B5&lt;&gt;"",Hitung!$C5=Hitung!$C5,OR(Hitung!$D5&gt;Hitung!$D5,AND(Hitung!$D5=Hitung!$D5,Hitung!$A5&lt;Hitung!$A5))),1,0)</f>
        <v>0</v>
      </c>
      <c r="C5" s="14">
        <f>IF(AND(Hitung!$B5&lt;&gt;"",Hitung!$B6&lt;&gt;"",Hitung!$C5=Hitung!$C6,OR(Hitung!$D6&gt;Hitung!$D5,AND(Hitung!$D6=Hitung!$D5,Hitung!$A6&lt;Hitung!$A5))),1,0)</f>
        <v>1</v>
      </c>
      <c r="D5" s="14">
        <f>IF(AND(Hitung!$B5&lt;&gt;"",Hitung!$B7&lt;&gt;"",Hitung!$C5=Hitung!$C7,OR(Hitung!$D7&gt;Hitung!$D5,AND(Hitung!$D7=Hitung!$D5,Hitung!$A7&lt;Hitung!$A5))),1,0)</f>
        <v>0</v>
      </c>
      <c r="E5" s="14">
        <f>IF(AND(Hitung!$B5&lt;&gt;"",Hitung!$B8&lt;&gt;"",Hitung!$C5=Hitung!$C8,OR(Hitung!$D8&gt;Hitung!$D5,AND(Hitung!$D8=Hitung!$D5,Hitung!$A8&lt;Hitung!$A5))),1,0)</f>
        <v>0</v>
      </c>
      <c r="F5" s="14">
        <f>IF(AND(Hitung!$B5&lt;&gt;"",Hitung!$B9&lt;&gt;"",Hitung!$C5=Hitung!$C9,OR(Hitung!$D9&gt;Hitung!$D5,AND(Hitung!$D9=Hitung!$D5,Hitung!$A9&lt;Hitung!$A5))),1,0)</f>
        <v>0</v>
      </c>
      <c r="G5" s="14">
        <f>IF(AND(Hitung!$B5&lt;&gt;"",Hitung!$B10&lt;&gt;"",Hitung!$C5=Hitung!$C10,OR(Hitung!$D10&gt;Hitung!$D5,AND(Hitung!$D10=Hitung!$D5,Hitung!$A10&lt;Hitung!$A5))),1,0)</f>
        <v>0</v>
      </c>
      <c r="H5" s="14">
        <f>IF(AND(Hitung!$B5&lt;&gt;"",Hitung!$B11&lt;&gt;"",Hitung!$C5=Hitung!$C11,OR(Hitung!$D11&gt;Hitung!$D5,AND(Hitung!$D11=Hitung!$D5,Hitung!$A11&lt;Hitung!$A5))),1,0)</f>
        <v>0</v>
      </c>
      <c r="I5" s="14">
        <f>IF(AND(Hitung!$B5&lt;&gt;"",Hitung!$B12&lt;&gt;"",Hitung!$C5=Hitung!$C12,OR(Hitung!$D12&gt;Hitung!$D5,AND(Hitung!$D12=Hitung!$D5,Hitung!$A12&lt;Hitung!$A5))),1,0)</f>
        <v>0</v>
      </c>
      <c r="AK5" s="14">
        <v>0.0</v>
      </c>
      <c r="AL5" s="14">
        <v>0.0</v>
      </c>
      <c r="AM5" s="14">
        <v>0.0</v>
      </c>
    </row>
    <row r="6">
      <c r="A6" s="14" t="str">
        <f>Hitung!B6</f>
        <v>T3</v>
      </c>
      <c r="B6" s="14">
        <f>IF(AND(Hitung!$B6&lt;&gt;"",Hitung!$B5&lt;&gt;"",Hitung!$C6=Hitung!$C5,OR(Hitung!$D5&gt;Hitung!$D6,AND(Hitung!$D5=Hitung!$D6,Hitung!$A5&lt;Hitung!$A6))),1,0)</f>
        <v>0</v>
      </c>
      <c r="C6" s="14">
        <f>IF(AND(Hitung!$B6&lt;&gt;"",Hitung!$B6&lt;&gt;"",Hitung!$C6=Hitung!$C6,OR(Hitung!$D6&gt;Hitung!$D6,AND(Hitung!$D6=Hitung!$D6,Hitung!$A6&lt;Hitung!$A6))),1,0)</f>
        <v>0</v>
      </c>
      <c r="D6" s="14">
        <f>IF(AND(Hitung!$B6&lt;&gt;"",Hitung!$B7&lt;&gt;"",Hitung!$C6=Hitung!$C7,OR(Hitung!$D7&gt;Hitung!$D6,AND(Hitung!$D7=Hitung!$D6,Hitung!$A7&lt;Hitung!$A6))),1,0)</f>
        <v>0</v>
      </c>
      <c r="E6" s="14">
        <f>IF(AND(Hitung!$B6&lt;&gt;"",Hitung!$B8&lt;&gt;"",Hitung!$C6=Hitung!$C8,OR(Hitung!$D8&gt;Hitung!$D6,AND(Hitung!$D8=Hitung!$D6,Hitung!$A8&lt;Hitung!$A6))),1,0)</f>
        <v>0</v>
      </c>
      <c r="F6" s="14">
        <f>IF(AND(Hitung!$B6&lt;&gt;"",Hitung!$B9&lt;&gt;"",Hitung!$C6=Hitung!$C9,OR(Hitung!$D9&gt;Hitung!$D6,AND(Hitung!$D9=Hitung!$D6,Hitung!$A9&lt;Hitung!$A6))),1,0)</f>
        <v>0</v>
      </c>
      <c r="G6" s="14">
        <f>IF(AND(Hitung!$B6&lt;&gt;"",Hitung!$B10&lt;&gt;"",Hitung!$C6=Hitung!$C10,OR(Hitung!$D10&gt;Hitung!$D6,AND(Hitung!$D10=Hitung!$D6,Hitung!$A10&lt;Hitung!$A6))),1,0)</f>
        <v>0</v>
      </c>
      <c r="H6" s="14">
        <f>IF(AND(Hitung!$B6&lt;&gt;"",Hitung!$B11&lt;&gt;"",Hitung!$C6=Hitung!$C11,OR(Hitung!$D11&gt;Hitung!$D6,AND(Hitung!$D11=Hitung!$D6,Hitung!$A11&lt;Hitung!$A6))),1,0)</f>
        <v>0</v>
      </c>
      <c r="I6" s="14">
        <f>IF(AND(Hitung!$B6&lt;&gt;"",Hitung!$B12&lt;&gt;"",Hitung!$C6=Hitung!$C12,OR(Hitung!$D12&gt;Hitung!$D6,AND(Hitung!$D12=Hitung!$D6,Hitung!$A12&lt;Hitung!$A6))),1,0)</f>
        <v>0</v>
      </c>
      <c r="AK6" s="14">
        <v>1.0</v>
      </c>
      <c r="AL6" s="14">
        <f>AL5+SUMIFS(Setting!$E$30:$E$39,Setting!$A$30:$A$39,AL$4,Setting!$C$30:$C$39,"&lt;="&amp;($AK6-1),Setting!$D$30:$D$39,"&gt;="&amp;($AK6-1))</f>
        <v>1</v>
      </c>
      <c r="AM6" s="14">
        <f>AM5+SUMIFS(Setting!$E$30:$E$39,Setting!$A$30:$A$39,AM$4,Setting!$C$30:$C$39,"&lt;="&amp;($AK6-1),Setting!$D$30:$D$39,"&gt;="&amp;($AK6-1))</f>
        <v>1</v>
      </c>
    </row>
    <row r="7">
      <c r="A7" s="14" t="str">
        <f>Hitung!B7</f>
        <v>S1</v>
      </c>
      <c r="B7" s="14">
        <f>IF(AND(Hitung!$B7&lt;&gt;"",Hitung!$B5&lt;&gt;"",Hitung!$C7=Hitung!$C5,OR(Hitung!$D5&gt;Hitung!$D7,AND(Hitung!$D5=Hitung!$D7,Hitung!$A5&lt;Hitung!$A7))),1,0)</f>
        <v>0</v>
      </c>
      <c r="C7" s="14">
        <f>IF(AND(Hitung!$B7&lt;&gt;"",Hitung!$B6&lt;&gt;"",Hitung!$C7=Hitung!$C6,OR(Hitung!$D6&gt;Hitung!$D7,AND(Hitung!$D6=Hitung!$D7,Hitung!$A6&lt;Hitung!$A7))),1,0)</f>
        <v>0</v>
      </c>
      <c r="D7" s="14">
        <f>IF(AND(Hitung!$B7&lt;&gt;"",Hitung!$B7&lt;&gt;"",Hitung!$C7=Hitung!$C7,OR(Hitung!$D7&gt;Hitung!$D7,AND(Hitung!$D7=Hitung!$D7,Hitung!$A7&lt;Hitung!$A7))),1,0)</f>
        <v>0</v>
      </c>
      <c r="E7" s="14">
        <f>IF(AND(Hitung!$B7&lt;&gt;"",Hitung!$B8&lt;&gt;"",Hitung!$C7=Hitung!$C8,OR(Hitung!$D8&gt;Hitung!$D7,AND(Hitung!$D8=Hitung!$D7,Hitung!$A8&lt;Hitung!$A7))),1,0)</f>
        <v>1</v>
      </c>
      <c r="F7" s="14">
        <f>IF(AND(Hitung!$B7&lt;&gt;"",Hitung!$B9&lt;&gt;"",Hitung!$C7=Hitung!$C9,OR(Hitung!$D9&gt;Hitung!$D7,AND(Hitung!$D9=Hitung!$D7,Hitung!$A9&lt;Hitung!$A7))),1,0)</f>
        <v>1</v>
      </c>
      <c r="G7" s="14">
        <f>IF(AND(Hitung!$B7&lt;&gt;"",Hitung!$B10&lt;&gt;"",Hitung!$C7=Hitung!$C10,OR(Hitung!$D10&gt;Hitung!$D7,AND(Hitung!$D10=Hitung!$D7,Hitung!$A10&lt;Hitung!$A7))),1,0)</f>
        <v>1</v>
      </c>
      <c r="H7" s="14">
        <f>IF(AND(Hitung!$B7&lt;&gt;"",Hitung!$B11&lt;&gt;"",Hitung!$C7=Hitung!$C11,OR(Hitung!$D11&gt;Hitung!$D7,AND(Hitung!$D11=Hitung!$D7,Hitung!$A11&lt;Hitung!$A7))),1,0)</f>
        <v>0</v>
      </c>
      <c r="I7" s="14">
        <f>IF(AND(Hitung!$B7&lt;&gt;"",Hitung!$B12&lt;&gt;"",Hitung!$C7=Hitung!$C12,OR(Hitung!$D12&gt;Hitung!$D7,AND(Hitung!$D12=Hitung!$D7,Hitung!$A12&lt;Hitung!$A7))),1,0)</f>
        <v>0</v>
      </c>
      <c r="AK7" s="14">
        <v>2.0</v>
      </c>
      <c r="AL7" s="14">
        <f>AL6+SUMIFS(Setting!$E$30:$E$39,Setting!$A$30:$A$39,AL$4,Setting!$C$30:$C$39,"&lt;="&amp;($AK7-1),Setting!$D$30:$D$39,"&gt;="&amp;($AK7-1))</f>
        <v>2</v>
      </c>
      <c r="AM7" s="14">
        <f>AM6+SUMIFS(Setting!$E$30:$E$39,Setting!$A$30:$A$39,AM$4,Setting!$C$30:$C$39,"&lt;="&amp;($AK7-1),Setting!$D$30:$D$39,"&gt;="&amp;($AK7-1))</f>
        <v>2</v>
      </c>
    </row>
    <row r="8">
      <c r="A8" s="14" t="str">
        <f>Hitung!B8</f>
        <v>S2</v>
      </c>
      <c r="B8" s="14">
        <f>IF(AND(Hitung!$B8&lt;&gt;"",Hitung!$B5&lt;&gt;"",Hitung!$C8=Hitung!$C5,OR(Hitung!$D5&gt;Hitung!$D8,AND(Hitung!$D5=Hitung!$D8,Hitung!$A5&lt;Hitung!$A8))),1,0)</f>
        <v>0</v>
      </c>
      <c r="C8" s="14">
        <f>IF(AND(Hitung!$B8&lt;&gt;"",Hitung!$B6&lt;&gt;"",Hitung!$C8=Hitung!$C6,OR(Hitung!$D6&gt;Hitung!$D8,AND(Hitung!$D6=Hitung!$D8,Hitung!$A6&lt;Hitung!$A8))),1,0)</f>
        <v>0</v>
      </c>
      <c r="D8" s="14">
        <f>IF(AND(Hitung!$B8&lt;&gt;"",Hitung!$B7&lt;&gt;"",Hitung!$C8=Hitung!$C7,OR(Hitung!$D7&gt;Hitung!$D8,AND(Hitung!$D7=Hitung!$D8,Hitung!$A7&lt;Hitung!$A8))),1,0)</f>
        <v>0</v>
      </c>
      <c r="E8" s="14">
        <f>IF(AND(Hitung!$B8&lt;&gt;"",Hitung!$B8&lt;&gt;"",Hitung!$C8=Hitung!$C8,OR(Hitung!$D8&gt;Hitung!$D8,AND(Hitung!$D8=Hitung!$D8,Hitung!$A8&lt;Hitung!$A8))),1,0)</f>
        <v>0</v>
      </c>
      <c r="F8" s="14">
        <f>IF(AND(Hitung!$B8&lt;&gt;"",Hitung!$B9&lt;&gt;"",Hitung!$C8=Hitung!$C9,OR(Hitung!$D9&gt;Hitung!$D8,AND(Hitung!$D9=Hitung!$D8,Hitung!$A9&lt;Hitung!$A8))),1,0)</f>
        <v>1</v>
      </c>
      <c r="G8" s="14">
        <f>IF(AND(Hitung!$B8&lt;&gt;"",Hitung!$B10&lt;&gt;"",Hitung!$C8=Hitung!$C10,OR(Hitung!$D10&gt;Hitung!$D8,AND(Hitung!$D10=Hitung!$D8,Hitung!$A10&lt;Hitung!$A8))),1,0)</f>
        <v>1</v>
      </c>
      <c r="H8" s="14">
        <f>IF(AND(Hitung!$B8&lt;&gt;"",Hitung!$B11&lt;&gt;"",Hitung!$C8=Hitung!$C11,OR(Hitung!$D11&gt;Hitung!$D8,AND(Hitung!$D11=Hitung!$D8,Hitung!$A11&lt;Hitung!$A8))),1,0)</f>
        <v>0</v>
      </c>
      <c r="I8" s="14">
        <f>IF(AND(Hitung!$B8&lt;&gt;"",Hitung!$B12&lt;&gt;"",Hitung!$C8=Hitung!$C12,OR(Hitung!$D12&gt;Hitung!$D8,AND(Hitung!$D12=Hitung!$D8,Hitung!$A12&lt;Hitung!$A8))),1,0)</f>
        <v>0</v>
      </c>
      <c r="AK8" s="14">
        <v>3.0</v>
      </c>
      <c r="AL8" s="14">
        <f>AL7+SUMIFS(Setting!$E$30:$E$39,Setting!$A$30:$A$39,AL$4,Setting!$C$30:$C$39,"&lt;="&amp;($AK8-1),Setting!$D$30:$D$39,"&gt;="&amp;($AK8-1))</f>
        <v>3</v>
      </c>
      <c r="AM8" s="14">
        <f>AM7+SUMIFS(Setting!$E$30:$E$39,Setting!$A$30:$A$39,AM$4,Setting!$C$30:$C$39,"&lt;="&amp;($AK8-1),Setting!$D$30:$D$39,"&gt;="&amp;($AK8-1))</f>
        <v>3</v>
      </c>
    </row>
    <row r="9">
      <c r="A9" s="14" t="str">
        <f>Hitung!B9</f>
        <v>S3</v>
      </c>
      <c r="B9" s="14">
        <f>IF(AND(Hitung!$B9&lt;&gt;"",Hitung!$B5&lt;&gt;"",Hitung!$C9=Hitung!$C5,OR(Hitung!$D5&gt;Hitung!$D9,AND(Hitung!$D5=Hitung!$D9,Hitung!$A5&lt;Hitung!$A9))),1,0)</f>
        <v>0</v>
      </c>
      <c r="C9" s="14">
        <f>IF(AND(Hitung!$B9&lt;&gt;"",Hitung!$B6&lt;&gt;"",Hitung!$C9=Hitung!$C6,OR(Hitung!$D6&gt;Hitung!$D9,AND(Hitung!$D6=Hitung!$D9,Hitung!$A6&lt;Hitung!$A9))),1,0)</f>
        <v>0</v>
      </c>
      <c r="D9" s="14">
        <f>IF(AND(Hitung!$B9&lt;&gt;"",Hitung!$B7&lt;&gt;"",Hitung!$C9=Hitung!$C7,OR(Hitung!$D7&gt;Hitung!$D9,AND(Hitung!$D7=Hitung!$D9,Hitung!$A7&lt;Hitung!$A9))),1,0)</f>
        <v>0</v>
      </c>
      <c r="E9" s="14">
        <f>IF(AND(Hitung!$B9&lt;&gt;"",Hitung!$B8&lt;&gt;"",Hitung!$C9=Hitung!$C8,OR(Hitung!$D8&gt;Hitung!$D9,AND(Hitung!$D8=Hitung!$D9,Hitung!$A8&lt;Hitung!$A9))),1,0)</f>
        <v>0</v>
      </c>
      <c r="F9" s="14">
        <f>IF(AND(Hitung!$B9&lt;&gt;"",Hitung!$B9&lt;&gt;"",Hitung!$C9=Hitung!$C9,OR(Hitung!$D9&gt;Hitung!$D9,AND(Hitung!$D9=Hitung!$D9,Hitung!$A9&lt;Hitung!$A9))),1,0)</f>
        <v>0</v>
      </c>
      <c r="G9" s="14">
        <f>IF(AND(Hitung!$B9&lt;&gt;"",Hitung!$B10&lt;&gt;"",Hitung!$C9=Hitung!$C10,OR(Hitung!$D10&gt;Hitung!$D9,AND(Hitung!$D10=Hitung!$D9,Hitung!$A10&lt;Hitung!$A9))),1,0)</f>
        <v>1</v>
      </c>
      <c r="H9" s="14">
        <f>IF(AND(Hitung!$B9&lt;&gt;"",Hitung!$B11&lt;&gt;"",Hitung!$C9=Hitung!$C11,OR(Hitung!$D11&gt;Hitung!$D9,AND(Hitung!$D11=Hitung!$D9,Hitung!$A11&lt;Hitung!$A9))),1,0)</f>
        <v>0</v>
      </c>
      <c r="I9" s="14">
        <f>IF(AND(Hitung!$B9&lt;&gt;"",Hitung!$B12&lt;&gt;"",Hitung!$C9=Hitung!$C12,OR(Hitung!$D12&gt;Hitung!$D9,AND(Hitung!$D12=Hitung!$D9,Hitung!$A12&lt;Hitung!$A9))),1,0)</f>
        <v>0</v>
      </c>
      <c r="AK9" s="14">
        <v>4.0</v>
      </c>
      <c r="AL9" s="14">
        <f>AL8+SUMIFS(Setting!$E$30:$E$39,Setting!$A$30:$A$39,AL$4,Setting!$C$30:$C$39,"&lt;="&amp;($AK9-1),Setting!$D$30:$D$39,"&gt;="&amp;($AK9-1))</f>
        <v>4</v>
      </c>
      <c r="AM9" s="14">
        <f>AM8+SUMIFS(Setting!$E$30:$E$39,Setting!$A$30:$A$39,AM$4,Setting!$C$30:$C$39,"&lt;="&amp;($AK9-1),Setting!$D$30:$D$39,"&gt;="&amp;($AK9-1))</f>
        <v>4</v>
      </c>
    </row>
    <row r="10">
      <c r="A10" s="14" t="str">
        <f>Hitung!B10</f>
        <v>S4</v>
      </c>
      <c r="B10" s="14">
        <f>IF(AND(Hitung!$B10&lt;&gt;"",Hitung!$B5&lt;&gt;"",Hitung!$C10=Hitung!$C5,OR(Hitung!$D5&gt;Hitung!$D10,AND(Hitung!$D5=Hitung!$D10,Hitung!$A5&lt;Hitung!$A10))),1,0)</f>
        <v>0</v>
      </c>
      <c r="C10" s="14">
        <f>IF(AND(Hitung!$B10&lt;&gt;"",Hitung!$B6&lt;&gt;"",Hitung!$C10=Hitung!$C6,OR(Hitung!$D6&gt;Hitung!$D10,AND(Hitung!$D6=Hitung!$D10,Hitung!$A6&lt;Hitung!$A10))),1,0)</f>
        <v>0</v>
      </c>
      <c r="D10" s="14">
        <f>IF(AND(Hitung!$B10&lt;&gt;"",Hitung!$B7&lt;&gt;"",Hitung!$C10=Hitung!$C7,OR(Hitung!$D7&gt;Hitung!$D10,AND(Hitung!$D7=Hitung!$D10,Hitung!$A7&lt;Hitung!$A10))),1,0)</f>
        <v>0</v>
      </c>
      <c r="E10" s="14">
        <f>IF(AND(Hitung!$B10&lt;&gt;"",Hitung!$B8&lt;&gt;"",Hitung!$C10=Hitung!$C8,OR(Hitung!$D8&gt;Hitung!$D10,AND(Hitung!$D8=Hitung!$D10,Hitung!$A8&lt;Hitung!$A10))),1,0)</f>
        <v>0</v>
      </c>
      <c r="F10" s="14">
        <f>IF(AND(Hitung!$B10&lt;&gt;"",Hitung!$B9&lt;&gt;"",Hitung!$C10=Hitung!$C9,OR(Hitung!$D9&gt;Hitung!$D10,AND(Hitung!$D9=Hitung!$D10,Hitung!$A9&lt;Hitung!$A10))),1,0)</f>
        <v>0</v>
      </c>
      <c r="G10" s="14">
        <f>IF(AND(Hitung!$B10&lt;&gt;"",Hitung!$B10&lt;&gt;"",Hitung!$C10=Hitung!$C10,OR(Hitung!$D10&gt;Hitung!$D10,AND(Hitung!$D10=Hitung!$D10,Hitung!$A10&lt;Hitung!$A10))),1,0)</f>
        <v>0</v>
      </c>
      <c r="H10" s="14">
        <f>IF(AND(Hitung!$B10&lt;&gt;"",Hitung!$B11&lt;&gt;"",Hitung!$C10=Hitung!$C11,OR(Hitung!$D11&gt;Hitung!$D10,AND(Hitung!$D11=Hitung!$D10,Hitung!$A11&lt;Hitung!$A10))),1,0)</f>
        <v>0</v>
      </c>
      <c r="I10" s="14">
        <f>IF(AND(Hitung!$B10&lt;&gt;"",Hitung!$B12&lt;&gt;"",Hitung!$C10=Hitung!$C12,OR(Hitung!$D12&gt;Hitung!$D10,AND(Hitung!$D12=Hitung!$D10,Hitung!$A12&lt;Hitung!$A10))),1,0)</f>
        <v>0</v>
      </c>
      <c r="AK10" s="14">
        <v>5.0</v>
      </c>
      <c r="AL10" s="14">
        <f>AL9+SUMIFS(Setting!$E$30:$E$39,Setting!$A$30:$A$39,AL$4,Setting!$C$30:$C$39,"&lt;="&amp;($AK10-1),Setting!$D$30:$D$39,"&gt;="&amp;($AK10-1))</f>
        <v>5</v>
      </c>
      <c r="AM10" s="14">
        <f>AM9+SUMIFS(Setting!$E$30:$E$39,Setting!$A$30:$A$39,AM$4,Setting!$C$30:$C$39,"&lt;="&amp;($AK10-1),Setting!$D$30:$D$39,"&gt;="&amp;($AK10-1))</f>
        <v>5</v>
      </c>
    </row>
    <row r="11">
      <c r="A11" s="14" t="str">
        <f>Hitung!B11</f>
        <v/>
      </c>
      <c r="B11" s="14">
        <f>IF(AND(Hitung!$B11&lt;&gt;"",Hitung!$B5&lt;&gt;"",Hitung!$C11=Hitung!$C5,OR(Hitung!$D5&gt;Hitung!$D11,AND(Hitung!$D5=Hitung!$D11,Hitung!$A5&lt;Hitung!$A11))),1,0)</f>
        <v>0</v>
      </c>
      <c r="C11" s="14">
        <f>IF(AND(Hitung!$B11&lt;&gt;"",Hitung!$B6&lt;&gt;"",Hitung!$C11=Hitung!$C6,OR(Hitung!$D6&gt;Hitung!$D11,AND(Hitung!$D6=Hitung!$D11,Hitung!$A6&lt;Hitung!$A11))),1,0)</f>
        <v>0</v>
      </c>
      <c r="D11" s="14">
        <f>IF(AND(Hitung!$B11&lt;&gt;"",Hitung!$B7&lt;&gt;"",Hitung!$C11=Hitung!$C7,OR(Hitung!$D7&gt;Hitung!$D11,AND(Hitung!$D7=Hitung!$D11,Hitung!$A7&lt;Hitung!$A11))),1,0)</f>
        <v>0</v>
      </c>
      <c r="E11" s="14">
        <f>IF(AND(Hitung!$B11&lt;&gt;"",Hitung!$B8&lt;&gt;"",Hitung!$C11=Hitung!$C8,OR(Hitung!$D8&gt;Hitung!$D11,AND(Hitung!$D8=Hitung!$D11,Hitung!$A8&lt;Hitung!$A11))),1,0)</f>
        <v>0</v>
      </c>
      <c r="F11" s="14">
        <f>IF(AND(Hitung!$B11&lt;&gt;"",Hitung!$B9&lt;&gt;"",Hitung!$C11=Hitung!$C9,OR(Hitung!$D9&gt;Hitung!$D11,AND(Hitung!$D9=Hitung!$D11,Hitung!$A9&lt;Hitung!$A11))),1,0)</f>
        <v>0</v>
      </c>
      <c r="G11" s="14">
        <f>IF(AND(Hitung!$B11&lt;&gt;"",Hitung!$B10&lt;&gt;"",Hitung!$C11=Hitung!$C10,OR(Hitung!$D10&gt;Hitung!$D11,AND(Hitung!$D10=Hitung!$D11,Hitung!$A10&lt;Hitung!$A11))),1,0)</f>
        <v>0</v>
      </c>
      <c r="H11" s="14">
        <f>IF(AND(Hitung!$B11&lt;&gt;"",Hitung!$B11&lt;&gt;"",Hitung!$C11=Hitung!$C11,OR(Hitung!$D11&gt;Hitung!$D11,AND(Hitung!$D11=Hitung!$D11,Hitung!$A11&lt;Hitung!$A11))),1,0)</f>
        <v>0</v>
      </c>
      <c r="I11" s="14">
        <f>IF(AND(Hitung!$B11&lt;&gt;"",Hitung!$B12&lt;&gt;"",Hitung!$C11=Hitung!$C12,OR(Hitung!$D12&gt;Hitung!$D11,AND(Hitung!$D12=Hitung!$D11,Hitung!$A12&lt;Hitung!$A11))),1,0)</f>
        <v>0</v>
      </c>
      <c r="AK11" s="14">
        <v>6.0</v>
      </c>
      <c r="AL11" s="14">
        <f>AL10+SUMIFS(Setting!$E$30:$E$39,Setting!$A$30:$A$39,AL$4,Setting!$C$30:$C$39,"&lt;="&amp;($AK11-1),Setting!$D$30:$D$39,"&gt;="&amp;($AK11-1))</f>
        <v>6</v>
      </c>
      <c r="AM11" s="14">
        <f>AM10+SUMIFS(Setting!$E$30:$E$39,Setting!$A$30:$A$39,AM$4,Setting!$C$30:$C$39,"&lt;="&amp;($AK11-1),Setting!$D$30:$D$39,"&gt;="&amp;($AK11-1))</f>
        <v>6</v>
      </c>
    </row>
    <row r="12">
      <c r="A12" s="14" t="str">
        <f>Hitung!B12</f>
        <v/>
      </c>
      <c r="B12" s="14">
        <f>IF(AND(Hitung!$B12&lt;&gt;"",Hitung!$B5&lt;&gt;"",Hitung!$C12=Hitung!$C5,OR(Hitung!$D5&gt;Hitung!$D12,AND(Hitung!$D5=Hitung!$D12,Hitung!$A5&lt;Hitung!$A12))),1,0)</f>
        <v>0</v>
      </c>
      <c r="C12" s="14">
        <f>IF(AND(Hitung!$B12&lt;&gt;"",Hitung!$B6&lt;&gt;"",Hitung!$C12=Hitung!$C6,OR(Hitung!$D6&gt;Hitung!$D12,AND(Hitung!$D6=Hitung!$D12,Hitung!$A6&lt;Hitung!$A12))),1,0)</f>
        <v>0</v>
      </c>
      <c r="D12" s="14">
        <f>IF(AND(Hitung!$B12&lt;&gt;"",Hitung!$B7&lt;&gt;"",Hitung!$C12=Hitung!$C7,OR(Hitung!$D7&gt;Hitung!$D12,AND(Hitung!$D7=Hitung!$D12,Hitung!$A7&lt;Hitung!$A12))),1,0)</f>
        <v>0</v>
      </c>
      <c r="E12" s="14">
        <f>IF(AND(Hitung!$B12&lt;&gt;"",Hitung!$B8&lt;&gt;"",Hitung!$C12=Hitung!$C8,OR(Hitung!$D8&gt;Hitung!$D12,AND(Hitung!$D8=Hitung!$D12,Hitung!$A8&lt;Hitung!$A12))),1,0)</f>
        <v>0</v>
      </c>
      <c r="F12" s="14">
        <f>IF(AND(Hitung!$B12&lt;&gt;"",Hitung!$B9&lt;&gt;"",Hitung!$C12=Hitung!$C9,OR(Hitung!$D9&gt;Hitung!$D12,AND(Hitung!$D9=Hitung!$D12,Hitung!$A9&lt;Hitung!$A12))),1,0)</f>
        <v>0</v>
      </c>
      <c r="G12" s="14">
        <f>IF(AND(Hitung!$B12&lt;&gt;"",Hitung!$B10&lt;&gt;"",Hitung!$C12=Hitung!$C10,OR(Hitung!$D10&gt;Hitung!$D12,AND(Hitung!$D10=Hitung!$D12,Hitung!$A10&lt;Hitung!$A12))),1,0)</f>
        <v>0</v>
      </c>
      <c r="H12" s="14">
        <f>IF(AND(Hitung!$B12&lt;&gt;"",Hitung!$B11&lt;&gt;"",Hitung!$C12=Hitung!$C11,OR(Hitung!$D11&gt;Hitung!$D12,AND(Hitung!$D11=Hitung!$D12,Hitung!$A11&lt;Hitung!$A12))),1,0)</f>
        <v>0</v>
      </c>
      <c r="I12" s="14">
        <f>IF(AND(Hitung!$B12&lt;&gt;"",Hitung!$B12&lt;&gt;"",Hitung!$C12=Hitung!$C12,OR(Hitung!$D12&gt;Hitung!$D12,AND(Hitung!$D12=Hitung!$D12,Hitung!$A12&lt;Hitung!$A12))),1,0)</f>
        <v>0</v>
      </c>
      <c r="AK12" s="14">
        <v>7.0</v>
      </c>
      <c r="AL12" s="14">
        <f>AL11+SUMIFS(Setting!$E$30:$E$39,Setting!$A$30:$A$39,AL$4,Setting!$C$30:$C$39,"&lt;="&amp;($AK12-1),Setting!$D$30:$D$39,"&gt;="&amp;($AK12-1))</f>
        <v>7</v>
      </c>
      <c r="AM12" s="14">
        <f>AM11+SUMIFS(Setting!$E$30:$E$39,Setting!$A$30:$A$39,AM$4,Setting!$C$30:$C$39,"&lt;="&amp;($AK12-1),Setting!$D$30:$D$39,"&gt;="&amp;($AK12-1))</f>
        <v>7</v>
      </c>
    </row>
    <row r="13">
      <c r="AK13" s="14">
        <v>8.0</v>
      </c>
      <c r="AL13" s="14">
        <f>AL12+SUMIFS(Setting!$E$30:$E$39,Setting!$A$30:$A$39,AL$4,Setting!$C$30:$C$39,"&lt;="&amp;($AK13-1),Setting!$D$30:$D$39,"&gt;="&amp;($AK13-1))</f>
        <v>8</v>
      </c>
      <c r="AM13" s="14">
        <f>AM12+SUMIFS(Setting!$E$30:$E$39,Setting!$A$30:$A$39,AM$4,Setting!$C$30:$C$39,"&lt;="&amp;($AK13-1),Setting!$D$30:$D$39,"&gt;="&amp;($AK13-1))</f>
        <v>8</v>
      </c>
    </row>
    <row r="14">
      <c r="AK14" s="14">
        <v>9.0</v>
      </c>
      <c r="AL14" s="14">
        <f>AL13+SUMIFS(Setting!$E$30:$E$39,Setting!$A$30:$A$39,AL$4,Setting!$C$30:$C$39,"&lt;="&amp;($AK14-1),Setting!$D$30:$D$39,"&gt;="&amp;($AK14-1))</f>
        <v>9</v>
      </c>
      <c r="AM14" s="14">
        <f>AM13+SUMIFS(Setting!$E$30:$E$39,Setting!$A$30:$A$39,AM$4,Setting!$C$30:$C$39,"&lt;="&amp;($AK14-1),Setting!$D$30:$D$39,"&gt;="&amp;($AK14-1))</f>
        <v>9</v>
      </c>
    </row>
    <row r="15">
      <c r="AK15" s="14">
        <v>10.0</v>
      </c>
      <c r="AL15" s="14">
        <f>AL14+SUMIFS(Setting!$E$30:$E$39,Setting!$A$30:$A$39,AL$4,Setting!$C$30:$C$39,"&lt;="&amp;($AK15-1),Setting!$D$30:$D$39,"&gt;="&amp;($AK15-1))</f>
        <v>10</v>
      </c>
      <c r="AM15" s="14">
        <f>AM14+SUMIFS(Setting!$E$30:$E$39,Setting!$A$30:$A$39,AM$4,Setting!$C$30:$C$39,"&lt;="&amp;($AK15-1),Setting!$D$30:$D$39,"&gt;="&amp;($AK15-1))</f>
        <v>10</v>
      </c>
    </row>
    <row r="16">
      <c r="AK16" s="14">
        <v>11.0</v>
      </c>
      <c r="AL16" s="14">
        <f>AL15+SUMIFS(Setting!$E$30:$E$39,Setting!$A$30:$A$39,AL$4,Setting!$C$30:$C$39,"&lt;="&amp;($AK16-1),Setting!$D$30:$D$39,"&gt;="&amp;($AK16-1))</f>
        <v>11</v>
      </c>
      <c r="AM16" s="14">
        <f>AM15+SUMIFS(Setting!$E$30:$E$39,Setting!$A$30:$A$39,AM$4,Setting!$C$30:$C$39,"&lt;="&amp;($AK16-1),Setting!$D$30:$D$39,"&gt;="&amp;($AK16-1))</f>
        <v>11</v>
      </c>
    </row>
    <row r="17">
      <c r="AK17" s="14">
        <v>12.0</v>
      </c>
      <c r="AL17" s="14">
        <f>AL16+SUMIFS(Setting!$E$30:$E$39,Setting!$A$30:$A$39,AL$4,Setting!$C$30:$C$39,"&lt;="&amp;($AK17-1),Setting!$D$30:$D$39,"&gt;="&amp;($AK17-1))</f>
        <v>12</v>
      </c>
      <c r="AM17" s="14">
        <f>AM16+SUMIFS(Setting!$E$30:$E$39,Setting!$A$30:$A$39,AM$4,Setting!$C$30:$C$39,"&lt;="&amp;($AK17-1),Setting!$D$30:$D$39,"&gt;="&amp;($AK17-1))</f>
        <v>12</v>
      </c>
    </row>
    <row r="18">
      <c r="AK18" s="14">
        <v>13.0</v>
      </c>
      <c r="AL18" s="14">
        <f>AL17+SUMIFS(Setting!$E$30:$E$39,Setting!$A$30:$A$39,AL$4,Setting!$C$30:$C$39,"&lt;="&amp;($AK18-1),Setting!$D$30:$D$39,"&gt;="&amp;($AK18-1))</f>
        <v>13</v>
      </c>
      <c r="AM18" s="14">
        <f>AM17+SUMIFS(Setting!$E$30:$E$39,Setting!$A$30:$A$39,AM$4,Setting!$C$30:$C$39,"&lt;="&amp;($AK18-1),Setting!$D$30:$D$39,"&gt;="&amp;($AK18-1))</f>
        <v>13</v>
      </c>
    </row>
    <row r="19" ht="30.0" customHeight="1">
      <c r="A19" s="3" t="s">
        <v>238</v>
      </c>
      <c r="B19" s="3" t="s">
        <v>239</v>
      </c>
      <c r="C19" s="3" t="s">
        <v>73</v>
      </c>
      <c r="D19" s="3" t="s">
        <v>232</v>
      </c>
      <c r="E19" s="3" t="s">
        <v>240</v>
      </c>
      <c r="F19" s="3" t="s">
        <v>241</v>
      </c>
      <c r="G19" s="3" t="s">
        <v>242</v>
      </c>
      <c r="H19" s="3" t="s">
        <v>243</v>
      </c>
      <c r="I19" s="3" t="s">
        <v>244</v>
      </c>
      <c r="J19" s="3" t="s">
        <v>245</v>
      </c>
      <c r="K19" s="3" t="s">
        <v>246</v>
      </c>
      <c r="L19" s="3" t="s">
        <v>247</v>
      </c>
      <c r="M19" s="3" t="s">
        <v>248</v>
      </c>
      <c r="N19" s="3" t="s">
        <v>249</v>
      </c>
      <c r="O19" s="3" t="s">
        <v>250</v>
      </c>
      <c r="P19" s="3" t="s">
        <v>251</v>
      </c>
      <c r="Q19" s="3" t="s">
        <v>252</v>
      </c>
      <c r="R19" s="3" t="s">
        <v>253</v>
      </c>
      <c r="S19" s="3" t="s">
        <v>254</v>
      </c>
      <c r="T19" s="3" t="s">
        <v>255</v>
      </c>
      <c r="U19" s="3" t="s">
        <v>256</v>
      </c>
      <c r="V19" s="3" t="s">
        <v>257</v>
      </c>
      <c r="W19" s="3" t="s">
        <v>258</v>
      </c>
      <c r="X19" s="3" t="s">
        <v>259</v>
      </c>
      <c r="Y19" s="3" t="s">
        <v>260</v>
      </c>
      <c r="Z19" s="3" t="s">
        <v>261</v>
      </c>
      <c r="AA19" s="3" t="s">
        <v>262</v>
      </c>
      <c r="AB19" s="3" t="s">
        <v>263</v>
      </c>
      <c r="AC19" s="3" t="s">
        <v>264</v>
      </c>
      <c r="AD19" s="3" t="s">
        <v>265</v>
      </c>
      <c r="AE19" s="3" t="s">
        <v>266</v>
      </c>
      <c r="AF19" s="3" t="s">
        <v>267</v>
      </c>
      <c r="AG19" s="3" t="s">
        <v>268</v>
      </c>
      <c r="AH19" s="3" t="s">
        <v>149</v>
      </c>
      <c r="AI19" s="3" t="s">
        <v>269</v>
      </c>
      <c r="AK19" s="14">
        <v>14.0</v>
      </c>
      <c r="AL19" s="14">
        <f>AL18+SUMIFS(Setting!$E$30:$E$39,Setting!$A$30:$A$39,AL$4,Setting!$C$30:$C$39,"&lt;="&amp;($AK19-1),Setting!$D$30:$D$39,"&gt;="&amp;($AK19-1))</f>
        <v>14</v>
      </c>
      <c r="AM19" s="14">
        <f>AM18+SUMIFS(Setting!$E$30:$E$39,Setting!$A$30:$A$39,AM$4,Setting!$C$30:$C$39,"&lt;="&amp;($AK19-1),Setting!$D$30:$D$39,"&gt;="&amp;($AK19-1))</f>
        <v>14</v>
      </c>
    </row>
    <row r="20">
      <c r="A20" s="14">
        <v>1.0</v>
      </c>
      <c r="B20" s="14">
        <v>1.0</v>
      </c>
      <c r="C20" s="14" t="str">
        <f>Hitung!A17</f>
        <v>ChromeT</v>
      </c>
      <c r="D20" s="14" t="str">
        <f>Hitung!B5</f>
        <v>T2</v>
      </c>
      <c r="E20" s="14">
        <f>IF(AND(C20&lt;&gt;"",D20&lt;&gt;"",Hitung!B17&gt;0,Hitung!E5&gt;Hitung!B17,G20&lt;&gt;B20,F20&gt;0),1,0)</f>
        <v>0</v>
      </c>
      <c r="F20" s="25">
        <f>Hitung!D17</f>
        <v>61</v>
      </c>
      <c r="G20" s="14">
        <f>Hitung!X17</f>
        <v>6</v>
      </c>
      <c r="H20" s="25">
        <f>Hitung!$M$5-IF($G20=1,$F20,0)+IF($B20=1,$F20,0)</f>
        <v>166</v>
      </c>
      <c r="I20" s="14">
        <f>Hitung!$M$6-IF($G20=2,$F20,0)+IF($B20=2,$F20,0)</f>
        <v>0</v>
      </c>
      <c r="J20" s="14">
        <f>Hitung!$M$7-IF($G20=3,$F20,0)+IF($B20=3,$F20,0)</f>
        <v>42</v>
      </c>
      <c r="K20" s="14">
        <f>Hitung!$M$8-IF($G20=4,$F20,0)+IF($B20=4,$F20,0)</f>
        <v>0</v>
      </c>
      <c r="L20" s="14">
        <f>Hitung!$M$9-IF($G20=5,$F20,0)+IF($B20=5,$F20,0)</f>
        <v>0</v>
      </c>
      <c r="M20" s="25">
        <f>Hitung!$M$10-IF($G20=6,$F20,0)+IF($B20=6,$F20,0)</f>
        <v>0</v>
      </c>
      <c r="N20" s="14">
        <f>Hitung!$M$11-IF($G20=7,$F20,0)+IF($B20=7,$F20,0)</f>
        <v>0</v>
      </c>
      <c r="O20" s="14">
        <f>Hitung!$M$12-IF($G20=8,$F20,0)+IF($B20=8,$F20,0)</f>
        <v>0</v>
      </c>
      <c r="P20" s="14">
        <f t="shared" ref="P20:P83" si="1">SUMPRODUCT($B$5:$I$5,$H20:$O20)</f>
        <v>0</v>
      </c>
      <c r="Q20" s="14">
        <f t="shared" ref="Q20:Q83" si="2">SUMPRODUCT($B$6:$I$6,$H20:$O20)</f>
        <v>0</v>
      </c>
      <c r="R20" s="14">
        <f t="shared" ref="R20:R83" si="3">SUMPRODUCT($B$7:$I$7,$H20:$O20)</f>
        <v>0</v>
      </c>
      <c r="S20" s="14">
        <f t="shared" ref="S20:S83" si="4">SUMPRODUCT($B$8:$I$8,$H20:$O20)</f>
        <v>0</v>
      </c>
      <c r="T20" s="14">
        <f t="shared" ref="T20:T83" si="5">SUMPRODUCT($B$9:$I$9,$H20:$O20)</f>
        <v>0</v>
      </c>
      <c r="U20" s="14">
        <f t="shared" ref="U20:U83" si="6">SUMPRODUCT($B$10:$I$10,$H20:$O20)</f>
        <v>0</v>
      </c>
      <c r="V20" s="14">
        <f t="shared" ref="V20:V83" si="7">SUMPRODUCT($B$11:$I$11,$H20:$O20)</f>
        <v>0</v>
      </c>
      <c r="W20" s="14">
        <f t="shared" ref="W20:W83" si="8">SUMPRODUCT($B$12:$I$12,$H20:$O20)</f>
        <v>0</v>
      </c>
      <c r="X20" s="14">
        <f t="array" ref="X20">IF(H20=0,0,Hitung!$D$5*IF(Hitung!$C$5="Conquest",INDEX($AL$5:$AL$705,P20+H20+1)-INDEX($AL$5:$AL$705,P20+1),INDEX($AM$5:$AM$705,P20+H20+1)-INDEX($AM$5:$AM$705,P20+1)))</f>
        <v>37680000</v>
      </c>
      <c r="Y20" s="14">
        <f t="array" ref="Y20">IF(I20=0,0,Hitung!$D$6*IF(Hitung!$C$6="Conquest",INDEX($AL$5:$AL$705,Q20+I20+1)-INDEX($AL$5:$AL$705,Q20+1),INDEX($AM$5:$AM$705,Q20+I20+1)-INDEX($AM$5:$AM$705,Q20+1)))</f>
        <v>0</v>
      </c>
      <c r="Z20" s="14">
        <f t="array" ref="Z20">IF(J20=0,0,Hitung!$D$7*IF(Hitung!$C$7="Conquest",INDEX($AL$5:$AL$705,R20+J20+1)-INDEX($AL$5:$AL$705,R20+1),INDEX($AM$5:$AM$705,R20+J20+1)-INDEX($AM$5:$AM$705,R20+1)))</f>
        <v>12600000</v>
      </c>
      <c r="AA20" s="14">
        <f t="array" ref="AA20">IF(K20=0,0,Hitung!$D$8*IF(Hitung!$C$8="Conquest",INDEX($AL$5:$AL$705,S20+K20+1)-INDEX($AL$5:$AL$705,S20+1),INDEX($AM$5:$AM$705,S20+K20+1)-INDEX($AM$5:$AM$705,S20+1)))</f>
        <v>0</v>
      </c>
      <c r="AB20" s="14">
        <f t="array" ref="AB20">IF(L20=0,0,Hitung!$D$9*IF(Hitung!$C$9="Conquest",INDEX($AL$5:$AL$705,T20+L20+1)-INDEX($AL$5:$AL$705,T20+1),INDEX($AM$5:$AM$705,T20+L20+1)-INDEX($AM$5:$AM$705,T20+1)))</f>
        <v>0</v>
      </c>
      <c r="AC20" s="14">
        <f t="array" ref="AC20">IF(M20=0,0,Hitung!$D$10*IF(Hitung!$C$10="Conquest",INDEX($AL$5:$AL$705,U20+M20+1)-INDEX($AL$5:$AL$705,U20+1),INDEX($AM$5:$AM$705,U20+M20+1)-INDEX($AM$5:$AM$705,U20+1)))</f>
        <v>0</v>
      </c>
      <c r="AD20" s="14">
        <f t="array" ref="AD20">IF(N20=0,0,Hitung!$D$11*IF(Hitung!$C$11="Conquest",INDEX($AL$5:$AL$705,V20+N20+1)-INDEX($AL$5:$AL$705,V20+1),INDEX($AM$5:$AM$705,V20+N20+1)-INDEX($AM$5:$AM$705,V20+1)))</f>
        <v>0</v>
      </c>
      <c r="AE20" s="14">
        <f t="array" ref="AE20">IF(O20=0,0,Hitung!$D$12*IF(Hitung!$C$12="Conquest",INDEX($AL$5:$AL$705,W20+O20+1)-INDEX($AL$5:$AL$705,W20+1),INDEX($AM$5:$AM$705,W20+O20+1)-INDEX($AM$5:$AM$705,W20+1)))</f>
        <v>0</v>
      </c>
      <c r="AF20" s="14">
        <f t="shared" ref="AF20:AF83" si="9">SUM(X20:AE20)</f>
        <v>50280000</v>
      </c>
      <c r="AG20" s="14">
        <f>IF(E20=1,AF20-Hitung!$AO$13,0)</f>
        <v>0</v>
      </c>
      <c r="AH20" s="14">
        <f>IF(E20=1,Hitung!E5-Hitung!B17,0)</f>
        <v>0</v>
      </c>
      <c r="AI20" s="14">
        <f t="shared" ref="AI20:AI83" si="10">IF(AND(E20=1,AG20&gt;0,AH20&gt;0),AG20/AH20,0)</f>
        <v>0</v>
      </c>
      <c r="AK20" s="14">
        <v>15.0</v>
      </c>
      <c r="AL20" s="14">
        <f>AL19+SUMIFS(Setting!$E$30:$E$39,Setting!$A$30:$A$39,AL$4,Setting!$C$30:$C$39,"&lt;="&amp;($AK20-1),Setting!$D$30:$D$39,"&gt;="&amp;($AK20-1))</f>
        <v>15</v>
      </c>
      <c r="AM20" s="14">
        <f>AM19+SUMIFS(Setting!$E$30:$E$39,Setting!$A$30:$A$39,AM$4,Setting!$C$30:$C$39,"&lt;="&amp;($AK20-1),Setting!$D$30:$D$39,"&gt;="&amp;($AK20-1))</f>
        <v>15</v>
      </c>
    </row>
    <row r="21" ht="15.75" customHeight="1">
      <c r="A21" s="14">
        <v>1.0</v>
      </c>
      <c r="B21" s="14">
        <v>2.0</v>
      </c>
      <c r="C21" s="14" t="str">
        <f>Hitung!A17</f>
        <v>ChromeT</v>
      </c>
      <c r="D21" s="14" t="str">
        <f>Hitung!B6</f>
        <v>T3</v>
      </c>
      <c r="E21" s="14">
        <f>IF(AND(C21&lt;&gt;"",D21&lt;&gt;"",Hitung!B17&gt;0,Hitung!E6&gt;Hitung!B17,G21&lt;&gt;B21,F21&gt;0),1,0)</f>
        <v>0</v>
      </c>
      <c r="F21" s="25">
        <f>Hitung!D17</f>
        <v>61</v>
      </c>
      <c r="G21" s="14">
        <f>Hitung!X17</f>
        <v>6</v>
      </c>
      <c r="H21" s="14">
        <f>Hitung!$M$5-IF($G21=1,$F21,0)+IF($B21=1,$F21,0)</f>
        <v>105</v>
      </c>
      <c r="I21" s="25">
        <f>Hitung!$M$6-IF($G21=2,$F21,0)+IF($B21=2,$F21,0)</f>
        <v>61</v>
      </c>
      <c r="J21" s="14">
        <f>Hitung!$M$7-IF($G21=3,$F21,0)+IF($B21=3,$F21,0)</f>
        <v>42</v>
      </c>
      <c r="K21" s="14">
        <f>Hitung!$M$8-IF($G21=4,$F21,0)+IF($B21=4,$F21,0)</f>
        <v>0</v>
      </c>
      <c r="L21" s="14">
        <f>Hitung!$M$9-IF($G21=5,$F21,0)+IF($B21=5,$F21,0)</f>
        <v>0</v>
      </c>
      <c r="M21" s="25">
        <f>Hitung!$M$10-IF($G21=6,$F21,0)+IF($B21=6,$F21,0)</f>
        <v>0</v>
      </c>
      <c r="N21" s="14">
        <f>Hitung!$M$11-IF($G21=7,$F21,0)+IF($B21=7,$F21,0)</f>
        <v>0</v>
      </c>
      <c r="O21" s="14">
        <f>Hitung!$M$12-IF($G21=8,$F21,0)+IF($B21=8,$F21,0)</f>
        <v>0</v>
      </c>
      <c r="P21" s="14">
        <f t="shared" si="1"/>
        <v>61</v>
      </c>
      <c r="Q21" s="14">
        <f t="shared" si="2"/>
        <v>0</v>
      </c>
      <c r="R21" s="14">
        <f t="shared" si="3"/>
        <v>0</v>
      </c>
      <c r="S21" s="14">
        <f t="shared" si="4"/>
        <v>0</v>
      </c>
      <c r="T21" s="14">
        <f t="shared" si="5"/>
        <v>0</v>
      </c>
      <c r="U21" s="14">
        <f t="shared" si="6"/>
        <v>0</v>
      </c>
      <c r="V21" s="14">
        <f t="shared" si="7"/>
        <v>0</v>
      </c>
      <c r="W21" s="14">
        <f t="shared" si="8"/>
        <v>0</v>
      </c>
      <c r="X21" s="14">
        <f t="array" ref="X21">IF(H21=0,0,Hitung!$D$5*IF(Hitung!$C$5="Conquest",INDEX($AL$5:$AL$705,P21+H21+1)-INDEX($AL$5:$AL$705,P21+1),INDEX($AM$5:$AM$705,P21+H21+1)-INDEX($AM$5:$AM$705,P21+1)))</f>
        <v>19380000</v>
      </c>
      <c r="Y21" s="14">
        <f t="array" ref="Y21">IF(I21=0,0,Hitung!$D$6*IF(Hitung!$C$6="Conquest",INDEX($AL$5:$AL$705,Q21+I21+1)-INDEX($AL$5:$AL$705,Q21+1),INDEX($AM$5:$AM$705,Q21+I21+1)-INDEX($AM$5:$AM$705,Q21+1)))</f>
        <v>24400000</v>
      </c>
      <c r="Z21" s="14">
        <f t="array" ref="Z21">IF(J21=0,0,Hitung!$D$7*IF(Hitung!$C$7="Conquest",INDEX($AL$5:$AL$705,R21+J21+1)-INDEX($AL$5:$AL$705,R21+1),INDEX($AM$5:$AM$705,R21+J21+1)-INDEX($AM$5:$AM$705,R21+1)))</f>
        <v>12600000</v>
      </c>
      <c r="AA21" s="14">
        <f t="array" ref="AA21">IF(K21=0,0,Hitung!$D$8*IF(Hitung!$C$8="Conquest",INDEX($AL$5:$AL$705,S21+K21+1)-INDEX($AL$5:$AL$705,S21+1),INDEX($AM$5:$AM$705,S21+K21+1)-INDEX($AM$5:$AM$705,S21+1)))</f>
        <v>0</v>
      </c>
      <c r="AB21" s="14">
        <f t="array" ref="AB21">IF(L21=0,0,Hitung!$D$9*IF(Hitung!$C$9="Conquest",INDEX($AL$5:$AL$705,T21+L21+1)-INDEX($AL$5:$AL$705,T21+1),INDEX($AM$5:$AM$705,T21+L21+1)-INDEX($AM$5:$AM$705,T21+1)))</f>
        <v>0</v>
      </c>
      <c r="AC21" s="14">
        <f t="array" ref="AC21">IF(M21=0,0,Hitung!$D$10*IF(Hitung!$C$10="Conquest",INDEX($AL$5:$AL$705,U21+M21+1)-INDEX($AL$5:$AL$705,U21+1),INDEX($AM$5:$AM$705,U21+M21+1)-INDEX($AM$5:$AM$705,U21+1)))</f>
        <v>0</v>
      </c>
      <c r="AD21" s="14">
        <f t="array" ref="AD21">IF(N21=0,0,Hitung!$D$11*IF(Hitung!$C$11="Conquest",INDEX($AL$5:$AL$705,V21+N21+1)-INDEX($AL$5:$AL$705,V21+1),INDEX($AM$5:$AM$705,V21+N21+1)-INDEX($AM$5:$AM$705,V21+1)))</f>
        <v>0</v>
      </c>
      <c r="AE21" s="14">
        <f t="array" ref="AE21">IF(O21=0,0,Hitung!$D$12*IF(Hitung!$C$12="Conquest",INDEX($AL$5:$AL$705,W21+O21+1)-INDEX($AL$5:$AL$705,W21+1),INDEX($AM$5:$AM$705,W21+O21+1)-INDEX($AM$5:$AM$705,W21+1)))</f>
        <v>0</v>
      </c>
      <c r="AF21" s="14">
        <f t="shared" si="9"/>
        <v>56380000</v>
      </c>
      <c r="AG21" s="14">
        <f>IF(E21=1,AF21-Hitung!$AO$13,0)</f>
        <v>0</v>
      </c>
      <c r="AH21" s="14">
        <f>IF(E21=1,Hitung!E6-Hitung!B17,0)</f>
        <v>0</v>
      </c>
      <c r="AI21" s="14">
        <f t="shared" si="10"/>
        <v>0</v>
      </c>
      <c r="AK21" s="14">
        <v>16.0</v>
      </c>
      <c r="AL21" s="14">
        <f>AL20+SUMIFS(Setting!$E$30:$E$39,Setting!$A$30:$A$39,AL$4,Setting!$C$30:$C$39,"&lt;="&amp;($AK21-1),Setting!$D$30:$D$39,"&gt;="&amp;($AK21-1))</f>
        <v>16</v>
      </c>
      <c r="AM21" s="14">
        <f>AM20+SUMIFS(Setting!$E$30:$E$39,Setting!$A$30:$A$39,AM$4,Setting!$C$30:$C$39,"&lt;="&amp;($AK21-1),Setting!$D$30:$D$39,"&gt;="&amp;($AK21-1))</f>
        <v>16</v>
      </c>
    </row>
    <row r="22" ht="15.75" customHeight="1">
      <c r="A22" s="14">
        <v>1.0</v>
      </c>
      <c r="B22" s="14">
        <v>3.0</v>
      </c>
      <c r="C22" s="14" t="str">
        <f>Hitung!A17</f>
        <v>ChromeT</v>
      </c>
      <c r="D22" s="14" t="str">
        <f>Hitung!B7</f>
        <v>S1</v>
      </c>
      <c r="E22" s="14">
        <f>IF(AND(C22&lt;&gt;"",D22&lt;&gt;"",Hitung!B17&gt;0,Hitung!E7&gt;Hitung!B17,G22&lt;&gt;B22,F22&gt;0),1,0)</f>
        <v>0</v>
      </c>
      <c r="F22" s="25">
        <f>Hitung!D17</f>
        <v>61</v>
      </c>
      <c r="G22" s="14">
        <f>Hitung!X17</f>
        <v>6</v>
      </c>
      <c r="H22" s="14">
        <f>Hitung!$M$5-IF($G22=1,$F22,0)+IF($B22=1,$F22,0)</f>
        <v>105</v>
      </c>
      <c r="I22" s="14">
        <f>Hitung!$M$6-IF($G22=2,$F22,0)+IF($B22=2,$F22,0)</f>
        <v>0</v>
      </c>
      <c r="J22" s="25">
        <f>Hitung!$M$7-IF($G22=3,$F22,0)+IF($B22=3,$F22,0)</f>
        <v>103</v>
      </c>
      <c r="K22" s="14">
        <f>Hitung!$M$8-IF($G22=4,$F22,0)+IF($B22=4,$F22,0)</f>
        <v>0</v>
      </c>
      <c r="L22" s="14">
        <f>Hitung!$M$9-IF($G22=5,$F22,0)+IF($B22=5,$F22,0)</f>
        <v>0</v>
      </c>
      <c r="M22" s="25">
        <f>Hitung!$M$10-IF($G22=6,$F22,0)+IF($B22=6,$F22,0)</f>
        <v>0</v>
      </c>
      <c r="N22" s="14">
        <f>Hitung!$M$11-IF($G22=7,$F22,0)+IF($B22=7,$F22,0)</f>
        <v>0</v>
      </c>
      <c r="O22" s="14">
        <f>Hitung!$M$12-IF($G22=8,$F22,0)+IF($B22=8,$F22,0)</f>
        <v>0</v>
      </c>
      <c r="P22" s="14">
        <f t="shared" si="1"/>
        <v>0</v>
      </c>
      <c r="Q22" s="14">
        <f t="shared" si="2"/>
        <v>0</v>
      </c>
      <c r="R22" s="14">
        <f t="shared" si="3"/>
        <v>0</v>
      </c>
      <c r="S22" s="14">
        <f t="shared" si="4"/>
        <v>0</v>
      </c>
      <c r="T22" s="14">
        <f t="shared" si="5"/>
        <v>0</v>
      </c>
      <c r="U22" s="14">
        <f t="shared" si="6"/>
        <v>0</v>
      </c>
      <c r="V22" s="14">
        <f t="shared" si="7"/>
        <v>0</v>
      </c>
      <c r="W22" s="14">
        <f t="shared" si="8"/>
        <v>0</v>
      </c>
      <c r="X22" s="14">
        <f t="array" ref="X22">IF(H22=0,0,Hitung!$D$5*IF(Hitung!$C$5="Conquest",INDEX($AL$5:$AL$705,P22+H22+1)-INDEX($AL$5:$AL$705,P22+1),INDEX($AM$5:$AM$705,P22+H22+1)-INDEX($AM$5:$AM$705,P22+1)))</f>
        <v>30240000</v>
      </c>
      <c r="Y22" s="14">
        <f t="array" ref="Y22">IF(I22=0,0,Hitung!$D$6*IF(Hitung!$C$6="Conquest",INDEX($AL$5:$AL$705,Q22+I22+1)-INDEX($AL$5:$AL$705,Q22+1),INDEX($AM$5:$AM$705,Q22+I22+1)-INDEX($AM$5:$AM$705,Q22+1)))</f>
        <v>0</v>
      </c>
      <c r="Z22" s="14">
        <f t="array" ref="Z22">IF(J22=0,0,Hitung!$D$7*IF(Hitung!$C$7="Conquest",INDEX($AL$5:$AL$705,R22+J22+1)-INDEX($AL$5:$AL$705,R22+1),INDEX($AM$5:$AM$705,R22+J22+1)-INDEX($AM$5:$AM$705,R22+1)))</f>
        <v>24660000</v>
      </c>
      <c r="AA22" s="14">
        <f t="array" ref="AA22">IF(K22=0,0,Hitung!$D$8*IF(Hitung!$C$8="Conquest",INDEX($AL$5:$AL$705,S22+K22+1)-INDEX($AL$5:$AL$705,S22+1),INDEX($AM$5:$AM$705,S22+K22+1)-INDEX($AM$5:$AM$705,S22+1)))</f>
        <v>0</v>
      </c>
      <c r="AB22" s="14">
        <f t="array" ref="AB22">IF(L22=0,0,Hitung!$D$9*IF(Hitung!$C$9="Conquest",INDEX($AL$5:$AL$705,T22+L22+1)-INDEX($AL$5:$AL$705,T22+1),INDEX($AM$5:$AM$705,T22+L22+1)-INDEX($AM$5:$AM$705,T22+1)))</f>
        <v>0</v>
      </c>
      <c r="AC22" s="14">
        <f t="array" ref="AC22">IF(M22=0,0,Hitung!$D$10*IF(Hitung!$C$10="Conquest",INDEX($AL$5:$AL$705,U22+M22+1)-INDEX($AL$5:$AL$705,U22+1),INDEX($AM$5:$AM$705,U22+M22+1)-INDEX($AM$5:$AM$705,U22+1)))</f>
        <v>0</v>
      </c>
      <c r="AD22" s="14">
        <f t="array" ref="AD22">IF(N22=0,0,Hitung!$D$11*IF(Hitung!$C$11="Conquest",INDEX($AL$5:$AL$705,V22+N22+1)-INDEX($AL$5:$AL$705,V22+1),INDEX($AM$5:$AM$705,V22+N22+1)-INDEX($AM$5:$AM$705,V22+1)))</f>
        <v>0</v>
      </c>
      <c r="AE22" s="14">
        <f t="array" ref="AE22">IF(O22=0,0,Hitung!$D$12*IF(Hitung!$C$12="Conquest",INDEX($AL$5:$AL$705,W22+O22+1)-INDEX($AL$5:$AL$705,W22+1),INDEX($AM$5:$AM$705,W22+O22+1)-INDEX($AM$5:$AM$705,W22+1)))</f>
        <v>0</v>
      </c>
      <c r="AF22" s="14">
        <f t="shared" si="9"/>
        <v>54900000</v>
      </c>
      <c r="AG22" s="14">
        <f>IF(E22=1,AF22-Hitung!$AO$13,0)</f>
        <v>0</v>
      </c>
      <c r="AH22" s="14">
        <f>IF(E22=1,Hitung!E7-Hitung!B17,0)</f>
        <v>0</v>
      </c>
      <c r="AI22" s="14">
        <f t="shared" si="10"/>
        <v>0</v>
      </c>
      <c r="AK22" s="14">
        <v>17.0</v>
      </c>
      <c r="AL22" s="14">
        <f>AL21+SUMIFS(Setting!$E$30:$E$39,Setting!$A$30:$A$39,AL$4,Setting!$C$30:$C$39,"&lt;="&amp;($AK22-1),Setting!$D$30:$D$39,"&gt;="&amp;($AK22-1))</f>
        <v>17</v>
      </c>
      <c r="AM22" s="14">
        <f>AM21+SUMIFS(Setting!$E$30:$E$39,Setting!$A$30:$A$39,AM$4,Setting!$C$30:$C$39,"&lt;="&amp;($AK22-1),Setting!$D$30:$D$39,"&gt;="&amp;($AK22-1))</f>
        <v>17</v>
      </c>
    </row>
    <row r="23" ht="15.75" customHeight="1">
      <c r="A23" s="14">
        <v>1.0</v>
      </c>
      <c r="B23" s="14">
        <v>4.0</v>
      </c>
      <c r="C23" s="14" t="str">
        <f>Hitung!A17</f>
        <v>ChromeT</v>
      </c>
      <c r="D23" s="14" t="str">
        <f>Hitung!B8</f>
        <v>S2</v>
      </c>
      <c r="E23" s="14">
        <f>IF(AND(C23&lt;&gt;"",D23&lt;&gt;"",Hitung!B17&gt;0,Hitung!E8&gt;Hitung!B17,G23&lt;&gt;B23,F23&gt;0),1,0)</f>
        <v>0</v>
      </c>
      <c r="F23" s="25">
        <f>Hitung!D17</f>
        <v>61</v>
      </c>
      <c r="G23" s="14">
        <f>Hitung!X17</f>
        <v>6</v>
      </c>
      <c r="H23" s="14">
        <f>Hitung!$M$5-IF($G23=1,$F23,0)+IF($B23=1,$F23,0)</f>
        <v>105</v>
      </c>
      <c r="I23" s="14">
        <f>Hitung!$M$6-IF($G23=2,$F23,0)+IF($B23=2,$F23,0)</f>
        <v>0</v>
      </c>
      <c r="J23" s="14">
        <f>Hitung!$M$7-IF($G23=3,$F23,0)+IF($B23=3,$F23,0)</f>
        <v>42</v>
      </c>
      <c r="K23" s="25">
        <f>Hitung!$M$8-IF($G23=4,$F23,0)+IF($B23=4,$F23,0)</f>
        <v>61</v>
      </c>
      <c r="L23" s="14">
        <f>Hitung!$M$9-IF($G23=5,$F23,0)+IF($B23=5,$F23,0)</f>
        <v>0</v>
      </c>
      <c r="M23" s="25">
        <f>Hitung!$M$10-IF($G23=6,$F23,0)+IF($B23=6,$F23,0)</f>
        <v>0</v>
      </c>
      <c r="N23" s="14">
        <f>Hitung!$M$11-IF($G23=7,$F23,0)+IF($B23=7,$F23,0)</f>
        <v>0</v>
      </c>
      <c r="O23" s="14">
        <f>Hitung!$M$12-IF($G23=8,$F23,0)+IF($B23=8,$F23,0)</f>
        <v>0</v>
      </c>
      <c r="P23" s="14">
        <f t="shared" si="1"/>
        <v>0</v>
      </c>
      <c r="Q23" s="14">
        <f t="shared" si="2"/>
        <v>0</v>
      </c>
      <c r="R23" s="14">
        <f t="shared" si="3"/>
        <v>61</v>
      </c>
      <c r="S23" s="14">
        <f t="shared" si="4"/>
        <v>0</v>
      </c>
      <c r="T23" s="14">
        <f t="shared" si="5"/>
        <v>0</v>
      </c>
      <c r="U23" s="14">
        <f t="shared" si="6"/>
        <v>0</v>
      </c>
      <c r="V23" s="14">
        <f t="shared" si="7"/>
        <v>0</v>
      </c>
      <c r="W23" s="14">
        <f t="shared" si="8"/>
        <v>0</v>
      </c>
      <c r="X23" s="14">
        <f t="array" ref="X23">IF(H23=0,0,Hitung!$D$5*IF(Hitung!$C$5="Conquest",INDEX($AL$5:$AL$705,P23+H23+1)-INDEX($AL$5:$AL$705,P23+1),INDEX($AM$5:$AM$705,P23+H23+1)-INDEX($AM$5:$AM$705,P23+1)))</f>
        <v>30240000</v>
      </c>
      <c r="Y23" s="14">
        <f t="array" ref="Y23">IF(I23=0,0,Hitung!$D$6*IF(Hitung!$C$6="Conquest",INDEX($AL$5:$AL$705,Q23+I23+1)-INDEX($AL$5:$AL$705,Q23+1),INDEX($AM$5:$AM$705,Q23+I23+1)-INDEX($AM$5:$AM$705,Q23+1)))</f>
        <v>0</v>
      </c>
      <c r="Z23" s="14">
        <f t="array" ref="Z23">IF(J23=0,0,Hitung!$D$7*IF(Hitung!$C$7="Conquest",INDEX($AL$5:$AL$705,R23+J23+1)-INDEX($AL$5:$AL$705,R23+1),INDEX($AM$5:$AM$705,R23+J23+1)-INDEX($AM$5:$AM$705,R23+1)))</f>
        <v>6660000</v>
      </c>
      <c r="AA23" s="14">
        <f t="array" ref="AA23">IF(K23=0,0,Hitung!$D$8*IF(Hitung!$C$8="Conquest",INDEX($AL$5:$AL$705,S23+K23+1)-INDEX($AL$5:$AL$705,S23+1),INDEX($AM$5:$AM$705,S23+K23+1)-INDEX($AM$5:$AM$705,S23+1)))</f>
        <v>21600000</v>
      </c>
      <c r="AB23" s="14">
        <f t="array" ref="AB23">IF(L23=0,0,Hitung!$D$9*IF(Hitung!$C$9="Conquest",INDEX($AL$5:$AL$705,T23+L23+1)-INDEX($AL$5:$AL$705,T23+1),INDEX($AM$5:$AM$705,T23+L23+1)-INDEX($AM$5:$AM$705,T23+1)))</f>
        <v>0</v>
      </c>
      <c r="AC23" s="14">
        <f t="array" ref="AC23">IF(M23=0,0,Hitung!$D$10*IF(Hitung!$C$10="Conquest",INDEX($AL$5:$AL$705,U23+M23+1)-INDEX($AL$5:$AL$705,U23+1),INDEX($AM$5:$AM$705,U23+M23+1)-INDEX($AM$5:$AM$705,U23+1)))</f>
        <v>0</v>
      </c>
      <c r="AD23" s="14">
        <f t="array" ref="AD23">IF(N23=0,0,Hitung!$D$11*IF(Hitung!$C$11="Conquest",INDEX($AL$5:$AL$705,V23+N23+1)-INDEX($AL$5:$AL$705,V23+1),INDEX($AM$5:$AM$705,V23+N23+1)-INDEX($AM$5:$AM$705,V23+1)))</f>
        <v>0</v>
      </c>
      <c r="AE23" s="14">
        <f t="array" ref="AE23">IF(O23=0,0,Hitung!$D$12*IF(Hitung!$C$12="Conquest",INDEX($AL$5:$AL$705,W23+O23+1)-INDEX($AL$5:$AL$705,W23+1),INDEX($AM$5:$AM$705,W23+O23+1)-INDEX($AM$5:$AM$705,W23+1)))</f>
        <v>0</v>
      </c>
      <c r="AF23" s="14">
        <f t="shared" si="9"/>
        <v>58500000</v>
      </c>
      <c r="AG23" s="14">
        <f>IF(E23=1,AF23-Hitung!$AO$13,0)</f>
        <v>0</v>
      </c>
      <c r="AH23" s="14">
        <f>IF(E23=1,Hitung!E8-Hitung!B17,0)</f>
        <v>0</v>
      </c>
      <c r="AI23" s="14">
        <f t="shared" si="10"/>
        <v>0</v>
      </c>
      <c r="AK23" s="14">
        <v>18.0</v>
      </c>
      <c r="AL23" s="14">
        <f>AL22+SUMIFS(Setting!$E$30:$E$39,Setting!$A$30:$A$39,AL$4,Setting!$C$30:$C$39,"&lt;="&amp;($AK23-1),Setting!$D$30:$D$39,"&gt;="&amp;($AK23-1))</f>
        <v>18</v>
      </c>
      <c r="AM23" s="14">
        <f>AM22+SUMIFS(Setting!$E$30:$E$39,Setting!$A$30:$A$39,AM$4,Setting!$C$30:$C$39,"&lt;="&amp;($AK23-1),Setting!$D$30:$D$39,"&gt;="&amp;($AK23-1))</f>
        <v>18</v>
      </c>
    </row>
    <row r="24" ht="15.75" customHeight="1">
      <c r="A24" s="14">
        <v>1.0</v>
      </c>
      <c r="B24" s="14">
        <v>5.0</v>
      </c>
      <c r="C24" s="14" t="str">
        <f>Hitung!A17</f>
        <v>ChromeT</v>
      </c>
      <c r="D24" s="14" t="str">
        <f>Hitung!B9</f>
        <v>S3</v>
      </c>
      <c r="E24" s="14">
        <f>IF(AND(C24&lt;&gt;"",D24&lt;&gt;"",Hitung!B17&gt;0,Hitung!E9&gt;Hitung!B17,G24&lt;&gt;B24,F24&gt;0),1,0)</f>
        <v>0</v>
      </c>
      <c r="F24" s="25">
        <f>Hitung!D17</f>
        <v>61</v>
      </c>
      <c r="G24" s="14">
        <f>Hitung!X17</f>
        <v>6</v>
      </c>
      <c r="H24" s="14">
        <f>Hitung!$M$5-IF($G24=1,$F24,0)+IF($B24=1,$F24,0)</f>
        <v>105</v>
      </c>
      <c r="I24" s="14">
        <f>Hitung!$M$6-IF($G24=2,$F24,0)+IF($B24=2,$F24,0)</f>
        <v>0</v>
      </c>
      <c r="J24" s="14">
        <f>Hitung!$M$7-IF($G24=3,$F24,0)+IF($B24=3,$F24,0)</f>
        <v>42</v>
      </c>
      <c r="K24" s="14">
        <f>Hitung!$M$8-IF($G24=4,$F24,0)+IF($B24=4,$F24,0)</f>
        <v>0</v>
      </c>
      <c r="L24" s="25">
        <f>Hitung!$M$9-IF($G24=5,$F24,0)+IF($B24=5,$F24,0)</f>
        <v>61</v>
      </c>
      <c r="M24" s="25">
        <f>Hitung!$M$10-IF($G24=6,$F24,0)+IF($B24=6,$F24,0)</f>
        <v>0</v>
      </c>
      <c r="N24" s="14">
        <f>Hitung!$M$11-IF($G24=7,$F24,0)+IF($B24=7,$F24,0)</f>
        <v>0</v>
      </c>
      <c r="O24" s="14">
        <f>Hitung!$M$12-IF($G24=8,$F24,0)+IF($B24=8,$F24,0)</f>
        <v>0</v>
      </c>
      <c r="P24" s="14">
        <f t="shared" si="1"/>
        <v>0</v>
      </c>
      <c r="Q24" s="14">
        <f t="shared" si="2"/>
        <v>0</v>
      </c>
      <c r="R24" s="14">
        <f t="shared" si="3"/>
        <v>61</v>
      </c>
      <c r="S24" s="14">
        <f t="shared" si="4"/>
        <v>61</v>
      </c>
      <c r="T24" s="14">
        <f t="shared" si="5"/>
        <v>0</v>
      </c>
      <c r="U24" s="14">
        <f t="shared" si="6"/>
        <v>0</v>
      </c>
      <c r="V24" s="14">
        <f t="shared" si="7"/>
        <v>0</v>
      </c>
      <c r="W24" s="14">
        <f t="shared" si="8"/>
        <v>0</v>
      </c>
      <c r="X24" s="14">
        <f t="array" ref="X24">IF(H24=0,0,Hitung!$D$5*IF(Hitung!$C$5="Conquest",INDEX($AL$5:$AL$705,P24+H24+1)-INDEX($AL$5:$AL$705,P24+1),INDEX($AM$5:$AM$705,P24+H24+1)-INDEX($AM$5:$AM$705,P24+1)))</f>
        <v>30240000</v>
      </c>
      <c r="Y24" s="14">
        <f t="array" ref="Y24">IF(I24=0,0,Hitung!$D$6*IF(Hitung!$C$6="Conquest",INDEX($AL$5:$AL$705,Q24+I24+1)-INDEX($AL$5:$AL$705,Q24+1),INDEX($AM$5:$AM$705,Q24+I24+1)-INDEX($AM$5:$AM$705,Q24+1)))</f>
        <v>0</v>
      </c>
      <c r="Z24" s="14">
        <f t="array" ref="Z24">IF(J24=0,0,Hitung!$D$7*IF(Hitung!$C$7="Conquest",INDEX($AL$5:$AL$705,R24+J24+1)-INDEX($AL$5:$AL$705,R24+1),INDEX($AM$5:$AM$705,R24+J24+1)-INDEX($AM$5:$AM$705,R24+1)))</f>
        <v>6660000</v>
      </c>
      <c r="AA24" s="14">
        <f t="array" ref="AA24">IF(K24=0,0,Hitung!$D$8*IF(Hitung!$C$8="Conquest",INDEX($AL$5:$AL$705,S24+K24+1)-INDEX($AL$5:$AL$705,S24+1),INDEX($AM$5:$AM$705,S24+K24+1)-INDEX($AM$5:$AM$705,S24+1)))</f>
        <v>0</v>
      </c>
      <c r="AB24" s="14">
        <f t="array" ref="AB24">IF(L24=0,0,Hitung!$D$9*IF(Hitung!$C$9="Conquest",INDEX($AL$5:$AL$705,T24+L24+1)-INDEX($AL$5:$AL$705,T24+1),INDEX($AM$5:$AM$705,T24+L24+1)-INDEX($AM$5:$AM$705,T24+1)))</f>
        <v>25200000</v>
      </c>
      <c r="AC24" s="14">
        <f t="array" ref="AC24">IF(M24=0,0,Hitung!$D$10*IF(Hitung!$C$10="Conquest",INDEX($AL$5:$AL$705,U24+M24+1)-INDEX($AL$5:$AL$705,U24+1),INDEX($AM$5:$AM$705,U24+M24+1)-INDEX($AM$5:$AM$705,U24+1)))</f>
        <v>0</v>
      </c>
      <c r="AD24" s="14">
        <f t="array" ref="AD24">IF(N24=0,0,Hitung!$D$11*IF(Hitung!$C$11="Conquest",INDEX($AL$5:$AL$705,V24+N24+1)-INDEX($AL$5:$AL$705,V24+1),INDEX($AM$5:$AM$705,V24+N24+1)-INDEX($AM$5:$AM$705,V24+1)))</f>
        <v>0</v>
      </c>
      <c r="AE24" s="14">
        <f t="array" ref="AE24">IF(O24=0,0,Hitung!$D$12*IF(Hitung!$C$12="Conquest",INDEX($AL$5:$AL$705,W24+O24+1)-INDEX($AL$5:$AL$705,W24+1),INDEX($AM$5:$AM$705,W24+O24+1)-INDEX($AM$5:$AM$705,W24+1)))</f>
        <v>0</v>
      </c>
      <c r="AF24" s="14">
        <f t="shared" si="9"/>
        <v>62100000</v>
      </c>
      <c r="AG24" s="14">
        <f>IF(E24=1,AF24-Hitung!$AO$13,0)</f>
        <v>0</v>
      </c>
      <c r="AH24" s="14">
        <f>IF(E24=1,Hitung!E9-Hitung!B17,0)</f>
        <v>0</v>
      </c>
      <c r="AI24" s="14">
        <f t="shared" si="10"/>
        <v>0</v>
      </c>
      <c r="AK24" s="14">
        <v>19.0</v>
      </c>
      <c r="AL24" s="14">
        <f>AL23+SUMIFS(Setting!$E$30:$E$39,Setting!$A$30:$A$39,AL$4,Setting!$C$30:$C$39,"&lt;="&amp;($AK24-1),Setting!$D$30:$D$39,"&gt;="&amp;($AK24-1))</f>
        <v>19</v>
      </c>
      <c r="AM24" s="14">
        <f>AM23+SUMIFS(Setting!$E$30:$E$39,Setting!$A$30:$A$39,AM$4,Setting!$C$30:$C$39,"&lt;="&amp;($AK24-1),Setting!$D$30:$D$39,"&gt;="&amp;($AK24-1))</f>
        <v>19</v>
      </c>
    </row>
    <row r="25" ht="15.75" customHeight="1">
      <c r="A25" s="14">
        <v>1.0</v>
      </c>
      <c r="B25" s="14">
        <v>6.0</v>
      </c>
      <c r="C25" s="14" t="str">
        <f>Hitung!A17</f>
        <v>ChromeT</v>
      </c>
      <c r="D25" s="14" t="str">
        <f>Hitung!B10</f>
        <v>S4</v>
      </c>
      <c r="E25" s="14">
        <f>IF(AND(C25&lt;&gt;"",D25&lt;&gt;"",Hitung!B17&gt;0,Hitung!E10&gt;Hitung!B17,G25&lt;&gt;B25,F25&gt;0),1,0)</f>
        <v>0</v>
      </c>
      <c r="F25" s="25">
        <f>Hitung!D17</f>
        <v>61</v>
      </c>
      <c r="G25" s="14">
        <f>Hitung!X17</f>
        <v>6</v>
      </c>
      <c r="H25" s="14">
        <f>Hitung!$M$5-IF($G25=1,$F25,0)+IF($B25=1,$F25,0)</f>
        <v>105</v>
      </c>
      <c r="I25" s="14">
        <f>Hitung!$M$6-IF($G25=2,$F25,0)+IF($B25=2,$F25,0)</f>
        <v>0</v>
      </c>
      <c r="J25" s="14">
        <f>Hitung!$M$7-IF($G25=3,$F25,0)+IF($B25=3,$F25,0)</f>
        <v>42</v>
      </c>
      <c r="K25" s="14">
        <f>Hitung!$M$8-IF($G25=4,$F25,0)+IF($B25=4,$F25,0)</f>
        <v>0</v>
      </c>
      <c r="L25" s="14">
        <f>Hitung!$M$9-IF($G25=5,$F25,0)+IF($B25=5,$F25,0)</f>
        <v>0</v>
      </c>
      <c r="M25" s="25">
        <f>Hitung!$M$10-IF($G25=6,$F25,0)+IF($B25=6,$F25,0)</f>
        <v>61</v>
      </c>
      <c r="N25" s="14">
        <f>Hitung!$M$11-IF($G25=7,$F25,0)+IF($B25=7,$F25,0)</f>
        <v>0</v>
      </c>
      <c r="O25" s="14">
        <f>Hitung!$M$12-IF($G25=8,$F25,0)+IF($B25=8,$F25,0)</f>
        <v>0</v>
      </c>
      <c r="P25" s="14">
        <f t="shared" si="1"/>
        <v>0</v>
      </c>
      <c r="Q25" s="14">
        <f t="shared" si="2"/>
        <v>0</v>
      </c>
      <c r="R25" s="14">
        <f t="shared" si="3"/>
        <v>61</v>
      </c>
      <c r="S25" s="14">
        <f t="shared" si="4"/>
        <v>61</v>
      </c>
      <c r="T25" s="14">
        <f t="shared" si="5"/>
        <v>61</v>
      </c>
      <c r="U25" s="14">
        <f t="shared" si="6"/>
        <v>0</v>
      </c>
      <c r="V25" s="14">
        <f t="shared" si="7"/>
        <v>0</v>
      </c>
      <c r="W25" s="14">
        <f t="shared" si="8"/>
        <v>0</v>
      </c>
      <c r="X25" s="14">
        <f t="array" ref="X25">IF(H25=0,0,Hitung!$D$5*IF(Hitung!$C$5="Conquest",INDEX($AL$5:$AL$705,P25+H25+1)-INDEX($AL$5:$AL$705,P25+1),INDEX($AM$5:$AM$705,P25+H25+1)-INDEX($AM$5:$AM$705,P25+1)))</f>
        <v>30240000</v>
      </c>
      <c r="Y25" s="14">
        <f t="array" ref="Y25">IF(I25=0,0,Hitung!$D$6*IF(Hitung!$C$6="Conquest",INDEX($AL$5:$AL$705,Q25+I25+1)-INDEX($AL$5:$AL$705,Q25+1),INDEX($AM$5:$AM$705,Q25+I25+1)-INDEX($AM$5:$AM$705,Q25+1)))</f>
        <v>0</v>
      </c>
      <c r="Z25" s="14">
        <f t="array" ref="Z25">IF(J25=0,0,Hitung!$D$7*IF(Hitung!$C$7="Conquest",INDEX($AL$5:$AL$705,R25+J25+1)-INDEX($AL$5:$AL$705,R25+1),INDEX($AM$5:$AM$705,R25+J25+1)-INDEX($AM$5:$AM$705,R25+1)))</f>
        <v>6660000</v>
      </c>
      <c r="AA25" s="14">
        <f t="array" ref="AA25">IF(K25=0,0,Hitung!$D$8*IF(Hitung!$C$8="Conquest",INDEX($AL$5:$AL$705,S25+K25+1)-INDEX($AL$5:$AL$705,S25+1),INDEX($AM$5:$AM$705,S25+K25+1)-INDEX($AM$5:$AM$705,S25+1)))</f>
        <v>0</v>
      </c>
      <c r="AB25" s="14">
        <f t="array" ref="AB25">IF(L25=0,0,Hitung!$D$9*IF(Hitung!$C$9="Conquest",INDEX($AL$5:$AL$705,T25+L25+1)-INDEX($AL$5:$AL$705,T25+1),INDEX($AM$5:$AM$705,T25+L25+1)-INDEX($AM$5:$AM$705,T25+1)))</f>
        <v>0</v>
      </c>
      <c r="AC25" s="14">
        <f t="array" ref="AC25">IF(M25=0,0,Hitung!$D$10*IF(Hitung!$C$10="Conquest",INDEX($AL$5:$AL$705,U25+M25+1)-INDEX($AL$5:$AL$705,U25+1),INDEX($AM$5:$AM$705,U25+M25+1)-INDEX($AM$5:$AM$705,U25+1)))</f>
        <v>28800000</v>
      </c>
      <c r="AD25" s="14">
        <f t="array" ref="AD25">IF(N25=0,0,Hitung!$D$11*IF(Hitung!$C$11="Conquest",INDEX($AL$5:$AL$705,V25+N25+1)-INDEX($AL$5:$AL$705,V25+1),INDEX($AM$5:$AM$705,V25+N25+1)-INDEX($AM$5:$AM$705,V25+1)))</f>
        <v>0</v>
      </c>
      <c r="AE25" s="14">
        <f t="array" ref="AE25">IF(O25=0,0,Hitung!$D$12*IF(Hitung!$C$12="Conquest",INDEX($AL$5:$AL$705,W25+O25+1)-INDEX($AL$5:$AL$705,W25+1),INDEX($AM$5:$AM$705,W25+O25+1)-INDEX($AM$5:$AM$705,W25+1)))</f>
        <v>0</v>
      </c>
      <c r="AF25" s="14">
        <f t="shared" si="9"/>
        <v>65700000</v>
      </c>
      <c r="AG25" s="14">
        <f>IF(E25=1,AF25-Hitung!$AO$13,0)</f>
        <v>0</v>
      </c>
      <c r="AH25" s="14">
        <f>IF(E25=1,Hitung!E10-Hitung!B17,0)</f>
        <v>0</v>
      </c>
      <c r="AI25" s="14">
        <f t="shared" si="10"/>
        <v>0</v>
      </c>
      <c r="AK25" s="14">
        <v>20.0</v>
      </c>
      <c r="AL25" s="14">
        <f>AL24+SUMIFS(Setting!$E$30:$E$39,Setting!$A$30:$A$39,AL$4,Setting!$C$30:$C$39,"&lt;="&amp;($AK25-1),Setting!$D$30:$D$39,"&gt;="&amp;($AK25-1))</f>
        <v>20</v>
      </c>
      <c r="AM25" s="14">
        <f>AM24+SUMIFS(Setting!$E$30:$E$39,Setting!$A$30:$A$39,AM$4,Setting!$C$30:$C$39,"&lt;="&amp;($AK25-1),Setting!$D$30:$D$39,"&gt;="&amp;($AK25-1))</f>
        <v>20</v>
      </c>
    </row>
    <row r="26" ht="15.75" customHeight="1">
      <c r="A26" s="14">
        <v>1.0</v>
      </c>
      <c r="B26" s="14">
        <v>7.0</v>
      </c>
      <c r="C26" s="14" t="str">
        <f>Hitung!A17</f>
        <v>ChromeT</v>
      </c>
      <c r="D26" s="14" t="str">
        <f>Hitung!B11</f>
        <v/>
      </c>
      <c r="E26" s="14">
        <f>IF(AND(C26&lt;&gt;"",D26&lt;&gt;"",Hitung!B17&gt;0,Hitung!E11&gt;Hitung!B17,G26&lt;&gt;B26,F26&gt;0),1,0)</f>
        <v>0</v>
      </c>
      <c r="F26" s="25">
        <f>Hitung!D17</f>
        <v>61</v>
      </c>
      <c r="G26" s="14">
        <f>Hitung!X17</f>
        <v>6</v>
      </c>
      <c r="H26" s="14">
        <f>Hitung!$M$5-IF($G26=1,$F26,0)+IF($B26=1,$F26,0)</f>
        <v>105</v>
      </c>
      <c r="I26" s="14">
        <f>Hitung!$M$6-IF($G26=2,$F26,0)+IF($B26=2,$F26,0)</f>
        <v>0</v>
      </c>
      <c r="J26" s="14">
        <f>Hitung!$M$7-IF($G26=3,$F26,0)+IF($B26=3,$F26,0)</f>
        <v>42</v>
      </c>
      <c r="K26" s="14">
        <f>Hitung!$M$8-IF($G26=4,$F26,0)+IF($B26=4,$F26,0)</f>
        <v>0</v>
      </c>
      <c r="L26" s="14">
        <f>Hitung!$M$9-IF($G26=5,$F26,0)+IF($B26=5,$F26,0)</f>
        <v>0</v>
      </c>
      <c r="M26" s="25">
        <f>Hitung!$M$10-IF($G26=6,$F26,0)+IF($B26=6,$F26,0)</f>
        <v>0</v>
      </c>
      <c r="N26" s="25">
        <f>Hitung!$M$11-IF($G26=7,$F26,0)+IF($B26=7,$F26,0)</f>
        <v>61</v>
      </c>
      <c r="O26" s="14">
        <f>Hitung!$M$12-IF($G26=8,$F26,0)+IF($B26=8,$F26,0)</f>
        <v>0</v>
      </c>
      <c r="P26" s="14">
        <f t="shared" si="1"/>
        <v>0</v>
      </c>
      <c r="Q26" s="14">
        <f t="shared" si="2"/>
        <v>0</v>
      </c>
      <c r="R26" s="14">
        <f t="shared" si="3"/>
        <v>0</v>
      </c>
      <c r="S26" s="14">
        <f t="shared" si="4"/>
        <v>0</v>
      </c>
      <c r="T26" s="14">
        <f t="shared" si="5"/>
        <v>0</v>
      </c>
      <c r="U26" s="14">
        <f t="shared" si="6"/>
        <v>0</v>
      </c>
      <c r="V26" s="14">
        <f t="shared" si="7"/>
        <v>0</v>
      </c>
      <c r="W26" s="14">
        <f t="shared" si="8"/>
        <v>0</v>
      </c>
      <c r="X26" s="14">
        <f t="array" ref="X26">IF(H26=0,0,Hitung!$D$5*IF(Hitung!$C$5="Conquest",INDEX($AL$5:$AL$705,P26+H26+1)-INDEX($AL$5:$AL$705,P26+1),INDEX($AM$5:$AM$705,P26+H26+1)-INDEX($AM$5:$AM$705,P26+1)))</f>
        <v>30240000</v>
      </c>
      <c r="Y26" s="14">
        <f t="array" ref="Y26">IF(I26=0,0,Hitung!$D$6*IF(Hitung!$C$6="Conquest",INDEX($AL$5:$AL$705,Q26+I26+1)-INDEX($AL$5:$AL$705,Q26+1),INDEX($AM$5:$AM$705,Q26+I26+1)-INDEX($AM$5:$AM$705,Q26+1)))</f>
        <v>0</v>
      </c>
      <c r="Z26" s="14">
        <f t="array" ref="Z26">IF(J26=0,0,Hitung!$D$7*IF(Hitung!$C$7="Conquest",INDEX($AL$5:$AL$705,R26+J26+1)-INDEX($AL$5:$AL$705,R26+1),INDEX($AM$5:$AM$705,R26+J26+1)-INDEX($AM$5:$AM$705,R26+1)))</f>
        <v>12600000</v>
      </c>
      <c r="AA26" s="14">
        <f t="array" ref="AA26">IF(K26=0,0,Hitung!$D$8*IF(Hitung!$C$8="Conquest",INDEX($AL$5:$AL$705,S26+K26+1)-INDEX($AL$5:$AL$705,S26+1),INDEX($AM$5:$AM$705,S26+K26+1)-INDEX($AM$5:$AM$705,S26+1)))</f>
        <v>0</v>
      </c>
      <c r="AB26" s="14">
        <f t="array" ref="AB26">IF(L26=0,0,Hitung!$D$9*IF(Hitung!$C$9="Conquest",INDEX($AL$5:$AL$705,T26+L26+1)-INDEX($AL$5:$AL$705,T26+1),INDEX($AM$5:$AM$705,T26+L26+1)-INDEX($AM$5:$AM$705,T26+1)))</f>
        <v>0</v>
      </c>
      <c r="AC26" s="14">
        <f t="array" ref="AC26">IF(M26=0,0,Hitung!$D$10*IF(Hitung!$C$10="Conquest",INDEX($AL$5:$AL$705,U26+M26+1)-INDEX($AL$5:$AL$705,U26+1),INDEX($AM$5:$AM$705,U26+M26+1)-INDEX($AM$5:$AM$705,U26+1)))</f>
        <v>0</v>
      </c>
      <c r="AD26" s="14">
        <f t="array" ref="AD26">IF(N26=0,0,Hitung!$D$11*IF(Hitung!$C$11="Conquest",INDEX($AL$5:$AL$705,V26+N26+1)-INDEX($AL$5:$AL$705,V26+1),INDEX($AM$5:$AM$705,V26+N26+1)-INDEX($AM$5:$AM$705,V26+1)))</f>
        <v>0</v>
      </c>
      <c r="AE26" s="14">
        <f t="array" ref="AE26">IF(O26=0,0,Hitung!$D$12*IF(Hitung!$C$12="Conquest",INDEX($AL$5:$AL$705,W26+O26+1)-INDEX($AL$5:$AL$705,W26+1),INDEX($AM$5:$AM$705,W26+O26+1)-INDEX($AM$5:$AM$705,W26+1)))</f>
        <v>0</v>
      </c>
      <c r="AF26" s="14">
        <f t="shared" si="9"/>
        <v>42840000</v>
      </c>
      <c r="AG26" s="14">
        <f>IF(E26=1,AF26-Hitung!$AO$13,0)</f>
        <v>0</v>
      </c>
      <c r="AH26" s="14">
        <f>IF(E26=1,Hitung!E11-Hitung!B17,0)</f>
        <v>0</v>
      </c>
      <c r="AI26" s="14">
        <f t="shared" si="10"/>
        <v>0</v>
      </c>
      <c r="AK26" s="14">
        <v>21.0</v>
      </c>
      <c r="AL26" s="14">
        <f>AL25+SUMIFS(Setting!$E$30:$E$39,Setting!$A$30:$A$39,AL$4,Setting!$C$30:$C$39,"&lt;="&amp;($AK26-1),Setting!$D$30:$D$39,"&gt;="&amp;($AK26-1))</f>
        <v>21</v>
      </c>
      <c r="AM26" s="14">
        <f>AM25+SUMIFS(Setting!$E$30:$E$39,Setting!$A$30:$A$39,AM$4,Setting!$C$30:$C$39,"&lt;="&amp;($AK26-1),Setting!$D$30:$D$39,"&gt;="&amp;($AK26-1))</f>
        <v>21</v>
      </c>
    </row>
    <row r="27" ht="15.75" customHeight="1">
      <c r="A27" s="14">
        <v>1.0</v>
      </c>
      <c r="B27" s="14">
        <v>8.0</v>
      </c>
      <c r="C27" s="14" t="str">
        <f>Hitung!A17</f>
        <v>ChromeT</v>
      </c>
      <c r="D27" s="14" t="str">
        <f>Hitung!B12</f>
        <v/>
      </c>
      <c r="E27" s="14">
        <f>IF(AND(C27&lt;&gt;"",D27&lt;&gt;"",Hitung!B17&gt;0,Hitung!E12&gt;Hitung!B17,G27&lt;&gt;B27,F27&gt;0),1,0)</f>
        <v>0</v>
      </c>
      <c r="F27" s="25">
        <f>Hitung!D17</f>
        <v>61</v>
      </c>
      <c r="G27" s="14">
        <f>Hitung!X17</f>
        <v>6</v>
      </c>
      <c r="H27" s="14">
        <f>Hitung!$M$5-IF($G27=1,$F27,0)+IF($B27=1,$F27,0)</f>
        <v>105</v>
      </c>
      <c r="I27" s="14">
        <f>Hitung!$M$6-IF($G27=2,$F27,0)+IF($B27=2,$F27,0)</f>
        <v>0</v>
      </c>
      <c r="J27" s="14">
        <f>Hitung!$M$7-IF($G27=3,$F27,0)+IF($B27=3,$F27,0)</f>
        <v>42</v>
      </c>
      <c r="K27" s="14">
        <f>Hitung!$M$8-IF($G27=4,$F27,0)+IF($B27=4,$F27,0)</f>
        <v>0</v>
      </c>
      <c r="L27" s="14">
        <f>Hitung!$M$9-IF($G27=5,$F27,0)+IF($B27=5,$F27,0)</f>
        <v>0</v>
      </c>
      <c r="M27" s="25">
        <f>Hitung!$M$10-IF($G27=6,$F27,0)+IF($B27=6,$F27,0)</f>
        <v>0</v>
      </c>
      <c r="N27" s="14">
        <f>Hitung!$M$11-IF($G27=7,$F27,0)+IF($B27=7,$F27,0)</f>
        <v>0</v>
      </c>
      <c r="O27" s="25">
        <f>Hitung!$M$12-IF($G27=8,$F27,0)+IF($B27=8,$F27,0)</f>
        <v>61</v>
      </c>
      <c r="P27" s="14">
        <f t="shared" si="1"/>
        <v>0</v>
      </c>
      <c r="Q27" s="14">
        <f t="shared" si="2"/>
        <v>0</v>
      </c>
      <c r="R27" s="14">
        <f t="shared" si="3"/>
        <v>0</v>
      </c>
      <c r="S27" s="14">
        <f t="shared" si="4"/>
        <v>0</v>
      </c>
      <c r="T27" s="14">
        <f t="shared" si="5"/>
        <v>0</v>
      </c>
      <c r="U27" s="14">
        <f t="shared" si="6"/>
        <v>0</v>
      </c>
      <c r="V27" s="14">
        <f t="shared" si="7"/>
        <v>0</v>
      </c>
      <c r="W27" s="14">
        <f t="shared" si="8"/>
        <v>0</v>
      </c>
      <c r="X27" s="14">
        <f t="array" ref="X27">IF(H27=0,0,Hitung!$D$5*IF(Hitung!$C$5="Conquest",INDEX($AL$5:$AL$705,P27+H27+1)-INDEX($AL$5:$AL$705,P27+1),INDEX($AM$5:$AM$705,P27+H27+1)-INDEX($AM$5:$AM$705,P27+1)))</f>
        <v>30240000</v>
      </c>
      <c r="Y27" s="14">
        <f t="array" ref="Y27">IF(I27=0,0,Hitung!$D$6*IF(Hitung!$C$6="Conquest",INDEX($AL$5:$AL$705,Q27+I27+1)-INDEX($AL$5:$AL$705,Q27+1),INDEX($AM$5:$AM$705,Q27+I27+1)-INDEX($AM$5:$AM$705,Q27+1)))</f>
        <v>0</v>
      </c>
      <c r="Z27" s="14">
        <f t="array" ref="Z27">IF(J27=0,0,Hitung!$D$7*IF(Hitung!$C$7="Conquest",INDEX($AL$5:$AL$705,R27+J27+1)-INDEX($AL$5:$AL$705,R27+1),INDEX($AM$5:$AM$705,R27+J27+1)-INDEX($AM$5:$AM$705,R27+1)))</f>
        <v>12600000</v>
      </c>
      <c r="AA27" s="14">
        <f t="array" ref="AA27">IF(K27=0,0,Hitung!$D$8*IF(Hitung!$C$8="Conquest",INDEX($AL$5:$AL$705,S27+K27+1)-INDEX($AL$5:$AL$705,S27+1),INDEX($AM$5:$AM$705,S27+K27+1)-INDEX($AM$5:$AM$705,S27+1)))</f>
        <v>0</v>
      </c>
      <c r="AB27" s="14">
        <f t="array" ref="AB27">IF(L27=0,0,Hitung!$D$9*IF(Hitung!$C$9="Conquest",INDEX($AL$5:$AL$705,T27+L27+1)-INDEX($AL$5:$AL$705,T27+1),INDEX($AM$5:$AM$705,T27+L27+1)-INDEX($AM$5:$AM$705,T27+1)))</f>
        <v>0</v>
      </c>
      <c r="AC27" s="14">
        <f t="array" ref="AC27">IF(M27=0,0,Hitung!$D$10*IF(Hitung!$C$10="Conquest",INDEX($AL$5:$AL$705,U27+M27+1)-INDEX($AL$5:$AL$705,U27+1),INDEX($AM$5:$AM$705,U27+M27+1)-INDEX($AM$5:$AM$705,U27+1)))</f>
        <v>0</v>
      </c>
      <c r="AD27" s="14">
        <f t="array" ref="AD27">IF(N27=0,0,Hitung!$D$11*IF(Hitung!$C$11="Conquest",INDEX($AL$5:$AL$705,V27+N27+1)-INDEX($AL$5:$AL$705,V27+1),INDEX($AM$5:$AM$705,V27+N27+1)-INDEX($AM$5:$AM$705,V27+1)))</f>
        <v>0</v>
      </c>
      <c r="AE27" s="14">
        <f t="array" ref="AE27">IF(O27=0,0,Hitung!$D$12*IF(Hitung!$C$12="Conquest",INDEX($AL$5:$AL$705,W27+O27+1)-INDEX($AL$5:$AL$705,W27+1),INDEX($AM$5:$AM$705,W27+O27+1)-INDEX($AM$5:$AM$705,W27+1)))</f>
        <v>0</v>
      </c>
      <c r="AF27" s="14">
        <f t="shared" si="9"/>
        <v>42840000</v>
      </c>
      <c r="AG27" s="14">
        <f>IF(E27=1,AF27-Hitung!$AO$13,0)</f>
        <v>0</v>
      </c>
      <c r="AH27" s="14">
        <f>IF(E27=1,Hitung!E12-Hitung!B17,0)</f>
        <v>0</v>
      </c>
      <c r="AI27" s="14">
        <f t="shared" si="10"/>
        <v>0</v>
      </c>
      <c r="AK27" s="14">
        <v>22.0</v>
      </c>
      <c r="AL27" s="14">
        <f>AL26+SUMIFS(Setting!$E$30:$E$39,Setting!$A$30:$A$39,AL$4,Setting!$C$30:$C$39,"&lt;="&amp;($AK27-1),Setting!$D$30:$D$39,"&gt;="&amp;($AK27-1))</f>
        <v>22</v>
      </c>
      <c r="AM27" s="14">
        <f>AM26+SUMIFS(Setting!$E$30:$E$39,Setting!$A$30:$A$39,AM$4,Setting!$C$30:$C$39,"&lt;="&amp;($AK27-1),Setting!$D$30:$D$39,"&gt;="&amp;($AK27-1))</f>
        <v>22</v>
      </c>
    </row>
    <row r="28" ht="15.75" customHeight="1">
      <c r="A28" s="14">
        <v>2.0</v>
      </c>
      <c r="B28" s="14">
        <v>1.0</v>
      </c>
      <c r="C28" s="14" t="str">
        <f>Hitung!A18</f>
        <v>Roxarika</v>
      </c>
      <c r="D28" s="14" t="str">
        <f>Hitung!B5</f>
        <v>T2</v>
      </c>
      <c r="E28" s="14">
        <f>IF(AND(C28&lt;&gt;"",D28&lt;&gt;"",Hitung!B18&gt;0,Hitung!E5&gt;Hitung!B18,G28&lt;&gt;B28,F28&gt;0),1,0)</f>
        <v>0</v>
      </c>
      <c r="F28" s="25">
        <f>Hitung!D18</f>
        <v>21</v>
      </c>
      <c r="G28" s="14">
        <f>Hitung!X18</f>
        <v>3</v>
      </c>
      <c r="H28" s="25">
        <f>Hitung!$M$5-IF($G28=1,$F28,0)+IF($B28=1,$F28,0)</f>
        <v>126</v>
      </c>
      <c r="I28" s="14">
        <f>Hitung!$M$6-IF($G28=2,$F28,0)+IF($B28=2,$F28,0)</f>
        <v>0</v>
      </c>
      <c r="J28" s="25">
        <f>Hitung!$M$7-IF($G28=3,$F28,0)+IF($B28=3,$F28,0)</f>
        <v>21</v>
      </c>
      <c r="K28" s="14">
        <f>Hitung!$M$8-IF($G28=4,$F28,0)+IF($B28=4,$F28,0)</f>
        <v>0</v>
      </c>
      <c r="L28" s="14">
        <f>Hitung!$M$9-IF($G28=5,$F28,0)+IF($B28=5,$F28,0)</f>
        <v>0</v>
      </c>
      <c r="M28" s="14">
        <f>Hitung!$M$10-IF($G28=6,$F28,0)+IF($B28=6,$F28,0)</f>
        <v>61</v>
      </c>
      <c r="N28" s="14">
        <f>Hitung!$M$11-IF($G28=7,$F28,0)+IF($B28=7,$F28,0)</f>
        <v>0</v>
      </c>
      <c r="O28" s="14">
        <f>Hitung!$M$12-IF($G28=8,$F28,0)+IF($B28=8,$F28,0)</f>
        <v>0</v>
      </c>
      <c r="P28" s="14">
        <f t="shared" si="1"/>
        <v>0</v>
      </c>
      <c r="Q28" s="14">
        <f t="shared" si="2"/>
        <v>0</v>
      </c>
      <c r="R28" s="14">
        <f t="shared" si="3"/>
        <v>61</v>
      </c>
      <c r="S28" s="14">
        <f t="shared" si="4"/>
        <v>61</v>
      </c>
      <c r="T28" s="14">
        <f t="shared" si="5"/>
        <v>61</v>
      </c>
      <c r="U28" s="14">
        <f t="shared" si="6"/>
        <v>0</v>
      </c>
      <c r="V28" s="14">
        <f t="shared" si="7"/>
        <v>0</v>
      </c>
      <c r="W28" s="14">
        <f t="shared" si="8"/>
        <v>0</v>
      </c>
      <c r="X28" s="14">
        <f t="array" ref="X28">IF(H28=0,0,Hitung!$D$5*IF(Hitung!$C$5="Conquest",INDEX($AL$5:$AL$705,P28+H28+1)-INDEX($AL$5:$AL$705,P28+1),INDEX($AM$5:$AM$705,P28+H28+1)-INDEX($AM$5:$AM$705,P28+1)))</f>
        <v>34020000</v>
      </c>
      <c r="Y28" s="14">
        <f t="array" ref="Y28">IF(I28=0,0,Hitung!$D$6*IF(Hitung!$C$6="Conquest",INDEX($AL$5:$AL$705,Q28+I28+1)-INDEX($AL$5:$AL$705,Q28+1),INDEX($AM$5:$AM$705,Q28+I28+1)-INDEX($AM$5:$AM$705,Q28+1)))</f>
        <v>0</v>
      </c>
      <c r="Z28" s="14">
        <f t="array" ref="Z28">IF(J28=0,0,Hitung!$D$7*IF(Hitung!$C$7="Conquest",INDEX($AL$5:$AL$705,R28+J28+1)-INDEX($AL$5:$AL$705,R28+1),INDEX($AM$5:$AM$705,R28+J28+1)-INDEX($AM$5:$AM$705,R28+1)))</f>
        <v>4320000</v>
      </c>
      <c r="AA28" s="14">
        <f t="array" ref="AA28">IF(K28=0,0,Hitung!$D$8*IF(Hitung!$C$8="Conquest",INDEX($AL$5:$AL$705,S28+K28+1)-INDEX($AL$5:$AL$705,S28+1),INDEX($AM$5:$AM$705,S28+K28+1)-INDEX($AM$5:$AM$705,S28+1)))</f>
        <v>0</v>
      </c>
      <c r="AB28" s="14">
        <f t="array" ref="AB28">IF(L28=0,0,Hitung!$D$9*IF(Hitung!$C$9="Conquest",INDEX($AL$5:$AL$705,T28+L28+1)-INDEX($AL$5:$AL$705,T28+1),INDEX($AM$5:$AM$705,T28+L28+1)-INDEX($AM$5:$AM$705,T28+1)))</f>
        <v>0</v>
      </c>
      <c r="AC28" s="14">
        <f t="array" ref="AC28">IF(M28=0,0,Hitung!$D$10*IF(Hitung!$C$10="Conquest",INDEX($AL$5:$AL$705,U28+M28+1)-INDEX($AL$5:$AL$705,U28+1),INDEX($AM$5:$AM$705,U28+M28+1)-INDEX($AM$5:$AM$705,U28+1)))</f>
        <v>28800000</v>
      </c>
      <c r="AD28" s="14">
        <f t="array" ref="AD28">IF(N28=0,0,Hitung!$D$11*IF(Hitung!$C$11="Conquest",INDEX($AL$5:$AL$705,V28+N28+1)-INDEX($AL$5:$AL$705,V28+1),INDEX($AM$5:$AM$705,V28+N28+1)-INDEX($AM$5:$AM$705,V28+1)))</f>
        <v>0</v>
      </c>
      <c r="AE28" s="14">
        <f t="array" ref="AE28">IF(O28=0,0,Hitung!$D$12*IF(Hitung!$C$12="Conquest",INDEX($AL$5:$AL$705,W28+O28+1)-INDEX($AL$5:$AL$705,W28+1),INDEX($AM$5:$AM$705,W28+O28+1)-INDEX($AM$5:$AM$705,W28+1)))</f>
        <v>0</v>
      </c>
      <c r="AF28" s="14">
        <f t="shared" si="9"/>
        <v>67140000</v>
      </c>
      <c r="AG28" s="14">
        <f>IF(E28=1,AF28-Hitung!$AO$13,0)</f>
        <v>0</v>
      </c>
      <c r="AH28" s="14">
        <f>IF(E28=1,Hitung!E5-Hitung!B18,0)</f>
        <v>0</v>
      </c>
      <c r="AI28" s="14">
        <f t="shared" si="10"/>
        <v>0</v>
      </c>
      <c r="AK28" s="14">
        <v>23.0</v>
      </c>
      <c r="AL28" s="14">
        <f>AL27+SUMIFS(Setting!$E$30:$E$39,Setting!$A$30:$A$39,AL$4,Setting!$C$30:$C$39,"&lt;="&amp;($AK28-1),Setting!$D$30:$D$39,"&gt;="&amp;($AK28-1))</f>
        <v>23</v>
      </c>
      <c r="AM28" s="14">
        <f>AM27+SUMIFS(Setting!$E$30:$E$39,Setting!$A$30:$A$39,AM$4,Setting!$C$30:$C$39,"&lt;="&amp;($AK28-1),Setting!$D$30:$D$39,"&gt;="&amp;($AK28-1))</f>
        <v>23</v>
      </c>
    </row>
    <row r="29" ht="15.75" customHeight="1">
      <c r="A29" s="14">
        <v>2.0</v>
      </c>
      <c r="B29" s="14">
        <v>2.0</v>
      </c>
      <c r="C29" s="14" t="str">
        <f>Hitung!A18</f>
        <v>Roxarika</v>
      </c>
      <c r="D29" s="14" t="str">
        <f>Hitung!B6</f>
        <v>T3</v>
      </c>
      <c r="E29" s="14">
        <f>IF(AND(C29&lt;&gt;"",D29&lt;&gt;"",Hitung!B18&gt;0,Hitung!E6&gt;Hitung!B18,G29&lt;&gt;B29,F29&gt;0),1,0)</f>
        <v>1</v>
      </c>
      <c r="F29" s="25">
        <f>Hitung!D18</f>
        <v>21</v>
      </c>
      <c r="G29" s="14">
        <f>Hitung!X18</f>
        <v>3</v>
      </c>
      <c r="H29" s="14">
        <f>Hitung!$M$5-IF($G29=1,$F29,0)+IF($B29=1,$F29,0)</f>
        <v>105</v>
      </c>
      <c r="I29" s="25">
        <f>Hitung!$M$6-IF($G29=2,$F29,0)+IF($B29=2,$F29,0)</f>
        <v>21</v>
      </c>
      <c r="J29" s="25">
        <f>Hitung!$M$7-IF($G29=3,$F29,0)+IF($B29=3,$F29,0)</f>
        <v>21</v>
      </c>
      <c r="K29" s="14">
        <f>Hitung!$M$8-IF($G29=4,$F29,0)+IF($B29=4,$F29,0)</f>
        <v>0</v>
      </c>
      <c r="L29" s="14">
        <f>Hitung!$M$9-IF($G29=5,$F29,0)+IF($B29=5,$F29,0)</f>
        <v>0</v>
      </c>
      <c r="M29" s="14">
        <f>Hitung!$M$10-IF($G29=6,$F29,0)+IF($B29=6,$F29,0)</f>
        <v>61</v>
      </c>
      <c r="N29" s="14">
        <f>Hitung!$M$11-IF($G29=7,$F29,0)+IF($B29=7,$F29,0)</f>
        <v>0</v>
      </c>
      <c r="O29" s="14">
        <f>Hitung!$M$12-IF($G29=8,$F29,0)+IF($B29=8,$F29,0)</f>
        <v>0</v>
      </c>
      <c r="P29" s="14">
        <f t="shared" si="1"/>
        <v>21</v>
      </c>
      <c r="Q29" s="14">
        <f t="shared" si="2"/>
        <v>0</v>
      </c>
      <c r="R29" s="14">
        <f t="shared" si="3"/>
        <v>61</v>
      </c>
      <c r="S29" s="14">
        <f t="shared" si="4"/>
        <v>61</v>
      </c>
      <c r="T29" s="14">
        <f t="shared" si="5"/>
        <v>61</v>
      </c>
      <c r="U29" s="14">
        <f t="shared" si="6"/>
        <v>0</v>
      </c>
      <c r="V29" s="14">
        <f t="shared" si="7"/>
        <v>0</v>
      </c>
      <c r="W29" s="14">
        <f t="shared" si="8"/>
        <v>0</v>
      </c>
      <c r="X29" s="14">
        <f t="array" ref="X29">IF(H29=0,0,Hitung!$D$5*IF(Hitung!$C$5="Conquest",INDEX($AL$5:$AL$705,P29+H29+1)-INDEX($AL$5:$AL$705,P29+1),INDEX($AM$5:$AM$705,P29+H29+1)-INDEX($AM$5:$AM$705,P29+1)))</f>
        <v>27720000</v>
      </c>
      <c r="Y29" s="14">
        <f t="array" ref="Y29">IF(I29=0,0,Hitung!$D$6*IF(Hitung!$C$6="Conquest",INDEX($AL$5:$AL$705,Q29+I29+1)-INDEX($AL$5:$AL$705,Q29+1),INDEX($AM$5:$AM$705,Q29+I29+1)-INDEX($AM$5:$AM$705,Q29+1)))</f>
        <v>8400000</v>
      </c>
      <c r="Z29" s="14">
        <f t="array" ref="Z29">IF(J29=0,0,Hitung!$D$7*IF(Hitung!$C$7="Conquest",INDEX($AL$5:$AL$705,R29+J29+1)-INDEX($AL$5:$AL$705,R29+1),INDEX($AM$5:$AM$705,R29+J29+1)-INDEX($AM$5:$AM$705,R29+1)))</f>
        <v>4320000</v>
      </c>
      <c r="AA29" s="14">
        <f t="array" ref="AA29">IF(K29=0,0,Hitung!$D$8*IF(Hitung!$C$8="Conquest",INDEX($AL$5:$AL$705,S29+K29+1)-INDEX($AL$5:$AL$705,S29+1),INDEX($AM$5:$AM$705,S29+K29+1)-INDEX($AM$5:$AM$705,S29+1)))</f>
        <v>0</v>
      </c>
      <c r="AB29" s="14">
        <f t="array" ref="AB29">IF(L29=0,0,Hitung!$D$9*IF(Hitung!$C$9="Conquest",INDEX($AL$5:$AL$705,T29+L29+1)-INDEX($AL$5:$AL$705,T29+1),INDEX($AM$5:$AM$705,T29+L29+1)-INDEX($AM$5:$AM$705,T29+1)))</f>
        <v>0</v>
      </c>
      <c r="AC29" s="14">
        <f t="array" ref="AC29">IF(M29=0,0,Hitung!$D$10*IF(Hitung!$C$10="Conquest",INDEX($AL$5:$AL$705,U29+M29+1)-INDEX($AL$5:$AL$705,U29+1),INDEX($AM$5:$AM$705,U29+M29+1)-INDEX($AM$5:$AM$705,U29+1)))</f>
        <v>28800000</v>
      </c>
      <c r="AD29" s="14">
        <f t="array" ref="AD29">IF(N29=0,0,Hitung!$D$11*IF(Hitung!$C$11="Conquest",INDEX($AL$5:$AL$705,V29+N29+1)-INDEX($AL$5:$AL$705,V29+1),INDEX($AM$5:$AM$705,V29+N29+1)-INDEX($AM$5:$AM$705,V29+1)))</f>
        <v>0</v>
      </c>
      <c r="AE29" s="14">
        <f t="array" ref="AE29">IF(O29=0,0,Hitung!$D$12*IF(Hitung!$C$12="Conquest",INDEX($AL$5:$AL$705,W29+O29+1)-INDEX($AL$5:$AL$705,W29+1),INDEX($AM$5:$AM$705,W29+O29+1)-INDEX($AM$5:$AM$705,W29+1)))</f>
        <v>0</v>
      </c>
      <c r="AF29" s="14">
        <f t="shared" si="9"/>
        <v>69240000</v>
      </c>
      <c r="AG29" s="14">
        <f>IF(E29=1,AF29-Hitung!$AO$13,0)</f>
        <v>3540000</v>
      </c>
      <c r="AH29" s="73">
        <f>IF(E29=1,Hitung!E6-Hitung!B18,0)</f>
        <v>245</v>
      </c>
      <c r="AI29" s="14">
        <f t="shared" si="10"/>
        <v>14448.97959</v>
      </c>
      <c r="AK29" s="14">
        <v>24.0</v>
      </c>
      <c r="AL29" s="14">
        <f>AL28+SUMIFS(Setting!$E$30:$E$39,Setting!$A$30:$A$39,AL$4,Setting!$C$30:$C$39,"&lt;="&amp;($AK29-1),Setting!$D$30:$D$39,"&gt;="&amp;($AK29-1))</f>
        <v>24</v>
      </c>
      <c r="AM29" s="14">
        <f>AM28+SUMIFS(Setting!$E$30:$E$39,Setting!$A$30:$A$39,AM$4,Setting!$C$30:$C$39,"&lt;="&amp;($AK29-1),Setting!$D$30:$D$39,"&gt;="&amp;($AK29-1))</f>
        <v>24</v>
      </c>
    </row>
    <row r="30" ht="15.75" customHeight="1">
      <c r="A30" s="14">
        <v>2.0</v>
      </c>
      <c r="B30" s="14">
        <v>3.0</v>
      </c>
      <c r="C30" s="14" t="str">
        <f>Hitung!A18</f>
        <v>Roxarika</v>
      </c>
      <c r="D30" s="14" t="str">
        <f>Hitung!B7</f>
        <v>S1</v>
      </c>
      <c r="E30" s="14">
        <f>IF(AND(C30&lt;&gt;"",D30&lt;&gt;"",Hitung!B18&gt;0,Hitung!E7&gt;Hitung!B18,G30&lt;&gt;B30,F30&gt;0),1,0)</f>
        <v>0</v>
      </c>
      <c r="F30" s="25">
        <f>Hitung!D18</f>
        <v>21</v>
      </c>
      <c r="G30" s="14">
        <f>Hitung!X18</f>
        <v>3</v>
      </c>
      <c r="H30" s="14">
        <f>Hitung!$M$5-IF($G30=1,$F30,0)+IF($B30=1,$F30,0)</f>
        <v>105</v>
      </c>
      <c r="I30" s="14">
        <f>Hitung!$M$6-IF($G30=2,$F30,0)+IF($B30=2,$F30,0)</f>
        <v>0</v>
      </c>
      <c r="J30" s="25">
        <f>Hitung!$M$7-IF($G30=3,$F30,0)+IF($B30=3,$F30,0)</f>
        <v>42</v>
      </c>
      <c r="K30" s="14">
        <f>Hitung!$M$8-IF($G30=4,$F30,0)+IF($B30=4,$F30,0)</f>
        <v>0</v>
      </c>
      <c r="L30" s="14">
        <f>Hitung!$M$9-IF($G30=5,$F30,0)+IF($B30=5,$F30,0)</f>
        <v>0</v>
      </c>
      <c r="M30" s="14">
        <f>Hitung!$M$10-IF($G30=6,$F30,0)+IF($B30=6,$F30,0)</f>
        <v>61</v>
      </c>
      <c r="N30" s="14">
        <f>Hitung!$M$11-IF($G30=7,$F30,0)+IF($B30=7,$F30,0)</f>
        <v>0</v>
      </c>
      <c r="O30" s="14">
        <f>Hitung!$M$12-IF($G30=8,$F30,0)+IF($B30=8,$F30,0)</f>
        <v>0</v>
      </c>
      <c r="P30" s="14">
        <f t="shared" si="1"/>
        <v>0</v>
      </c>
      <c r="Q30" s="14">
        <f t="shared" si="2"/>
        <v>0</v>
      </c>
      <c r="R30" s="14">
        <f t="shared" si="3"/>
        <v>61</v>
      </c>
      <c r="S30" s="14">
        <f t="shared" si="4"/>
        <v>61</v>
      </c>
      <c r="T30" s="14">
        <f t="shared" si="5"/>
        <v>61</v>
      </c>
      <c r="U30" s="14">
        <f t="shared" si="6"/>
        <v>0</v>
      </c>
      <c r="V30" s="14">
        <f t="shared" si="7"/>
        <v>0</v>
      </c>
      <c r="W30" s="14">
        <f t="shared" si="8"/>
        <v>0</v>
      </c>
      <c r="X30" s="14">
        <f t="array" ref="X30">IF(H30=0,0,Hitung!$D$5*IF(Hitung!$C$5="Conquest",INDEX($AL$5:$AL$705,P30+H30+1)-INDEX($AL$5:$AL$705,P30+1),INDEX($AM$5:$AM$705,P30+H30+1)-INDEX($AM$5:$AM$705,P30+1)))</f>
        <v>30240000</v>
      </c>
      <c r="Y30" s="14">
        <f t="array" ref="Y30">IF(I30=0,0,Hitung!$D$6*IF(Hitung!$C$6="Conquest",INDEX($AL$5:$AL$705,Q30+I30+1)-INDEX($AL$5:$AL$705,Q30+1),INDEX($AM$5:$AM$705,Q30+I30+1)-INDEX($AM$5:$AM$705,Q30+1)))</f>
        <v>0</v>
      </c>
      <c r="Z30" s="14">
        <f t="array" ref="Z30">IF(J30=0,0,Hitung!$D$7*IF(Hitung!$C$7="Conquest",INDEX($AL$5:$AL$705,R30+J30+1)-INDEX($AL$5:$AL$705,R30+1),INDEX($AM$5:$AM$705,R30+J30+1)-INDEX($AM$5:$AM$705,R30+1)))</f>
        <v>6660000</v>
      </c>
      <c r="AA30" s="14">
        <f t="array" ref="AA30">IF(K30=0,0,Hitung!$D$8*IF(Hitung!$C$8="Conquest",INDEX($AL$5:$AL$705,S30+K30+1)-INDEX($AL$5:$AL$705,S30+1),INDEX($AM$5:$AM$705,S30+K30+1)-INDEX($AM$5:$AM$705,S30+1)))</f>
        <v>0</v>
      </c>
      <c r="AB30" s="14">
        <f t="array" ref="AB30">IF(L30=0,0,Hitung!$D$9*IF(Hitung!$C$9="Conquest",INDEX($AL$5:$AL$705,T30+L30+1)-INDEX($AL$5:$AL$705,T30+1),INDEX($AM$5:$AM$705,T30+L30+1)-INDEX($AM$5:$AM$705,T30+1)))</f>
        <v>0</v>
      </c>
      <c r="AC30" s="14">
        <f t="array" ref="AC30">IF(M30=0,0,Hitung!$D$10*IF(Hitung!$C$10="Conquest",INDEX($AL$5:$AL$705,U30+M30+1)-INDEX($AL$5:$AL$705,U30+1),INDEX($AM$5:$AM$705,U30+M30+1)-INDEX($AM$5:$AM$705,U30+1)))</f>
        <v>28800000</v>
      </c>
      <c r="AD30" s="14">
        <f t="array" ref="AD30">IF(N30=0,0,Hitung!$D$11*IF(Hitung!$C$11="Conquest",INDEX($AL$5:$AL$705,V30+N30+1)-INDEX($AL$5:$AL$705,V30+1),INDEX($AM$5:$AM$705,V30+N30+1)-INDEX($AM$5:$AM$705,V30+1)))</f>
        <v>0</v>
      </c>
      <c r="AE30" s="14">
        <f t="array" ref="AE30">IF(O30=0,0,Hitung!$D$12*IF(Hitung!$C$12="Conquest",INDEX($AL$5:$AL$705,W30+O30+1)-INDEX($AL$5:$AL$705,W30+1),INDEX($AM$5:$AM$705,W30+O30+1)-INDEX($AM$5:$AM$705,W30+1)))</f>
        <v>0</v>
      </c>
      <c r="AF30" s="14">
        <f t="shared" si="9"/>
        <v>65700000</v>
      </c>
      <c r="AG30" s="14">
        <f>IF(E30=1,AF30-Hitung!$AO$13,0)</f>
        <v>0</v>
      </c>
      <c r="AH30" s="14">
        <f>IF(E30=1,Hitung!E7-Hitung!B18,0)</f>
        <v>0</v>
      </c>
      <c r="AI30" s="14">
        <f t="shared" si="10"/>
        <v>0</v>
      </c>
      <c r="AK30" s="14">
        <v>25.0</v>
      </c>
      <c r="AL30" s="14">
        <f>AL29+SUMIFS(Setting!$E$30:$E$39,Setting!$A$30:$A$39,AL$4,Setting!$C$30:$C$39,"&lt;="&amp;($AK30-1),Setting!$D$30:$D$39,"&gt;="&amp;($AK30-1))</f>
        <v>25</v>
      </c>
      <c r="AM30" s="14">
        <f>AM29+SUMIFS(Setting!$E$30:$E$39,Setting!$A$30:$A$39,AM$4,Setting!$C$30:$C$39,"&lt;="&amp;($AK30-1),Setting!$D$30:$D$39,"&gt;="&amp;($AK30-1))</f>
        <v>25</v>
      </c>
    </row>
    <row r="31" ht="15.75" customHeight="1">
      <c r="A31" s="14">
        <v>2.0</v>
      </c>
      <c r="B31" s="14">
        <v>4.0</v>
      </c>
      <c r="C31" s="14" t="str">
        <f>Hitung!A18</f>
        <v>Roxarika</v>
      </c>
      <c r="D31" s="14" t="str">
        <f>Hitung!B8</f>
        <v>S2</v>
      </c>
      <c r="E31" s="14">
        <f>IF(AND(C31&lt;&gt;"",D31&lt;&gt;"",Hitung!B18&gt;0,Hitung!E8&gt;Hitung!B18,G31&lt;&gt;B31,F31&gt;0),1,0)</f>
        <v>1</v>
      </c>
      <c r="F31" s="25">
        <f>Hitung!D18</f>
        <v>21</v>
      </c>
      <c r="G31" s="14">
        <f>Hitung!X18</f>
        <v>3</v>
      </c>
      <c r="H31" s="14">
        <f>Hitung!$M$5-IF($G31=1,$F31,0)+IF($B31=1,$F31,0)</f>
        <v>105</v>
      </c>
      <c r="I31" s="14">
        <f>Hitung!$M$6-IF($G31=2,$F31,0)+IF($B31=2,$F31,0)</f>
        <v>0</v>
      </c>
      <c r="J31" s="25">
        <f>Hitung!$M$7-IF($G31=3,$F31,0)+IF($B31=3,$F31,0)</f>
        <v>21</v>
      </c>
      <c r="K31" s="25">
        <f>Hitung!$M$8-IF($G31=4,$F31,0)+IF($B31=4,$F31,0)</f>
        <v>21</v>
      </c>
      <c r="L31" s="14">
        <f>Hitung!$M$9-IF($G31=5,$F31,0)+IF($B31=5,$F31,0)</f>
        <v>0</v>
      </c>
      <c r="M31" s="14">
        <f>Hitung!$M$10-IF($G31=6,$F31,0)+IF($B31=6,$F31,0)</f>
        <v>61</v>
      </c>
      <c r="N31" s="14">
        <f>Hitung!$M$11-IF($G31=7,$F31,0)+IF($B31=7,$F31,0)</f>
        <v>0</v>
      </c>
      <c r="O31" s="14">
        <f>Hitung!$M$12-IF($G31=8,$F31,0)+IF($B31=8,$F31,0)</f>
        <v>0</v>
      </c>
      <c r="P31" s="14">
        <f t="shared" si="1"/>
        <v>0</v>
      </c>
      <c r="Q31" s="14">
        <f t="shared" si="2"/>
        <v>0</v>
      </c>
      <c r="R31" s="14">
        <f t="shared" si="3"/>
        <v>82</v>
      </c>
      <c r="S31" s="14">
        <f t="shared" si="4"/>
        <v>61</v>
      </c>
      <c r="T31" s="14">
        <f t="shared" si="5"/>
        <v>61</v>
      </c>
      <c r="U31" s="14">
        <f t="shared" si="6"/>
        <v>0</v>
      </c>
      <c r="V31" s="14">
        <f t="shared" si="7"/>
        <v>0</v>
      </c>
      <c r="W31" s="14">
        <f t="shared" si="8"/>
        <v>0</v>
      </c>
      <c r="X31" s="14">
        <f t="array" ref="X31">IF(H31=0,0,Hitung!$D$5*IF(Hitung!$C$5="Conquest",INDEX($AL$5:$AL$705,P31+H31+1)-INDEX($AL$5:$AL$705,P31+1),INDEX($AM$5:$AM$705,P31+H31+1)-INDEX($AM$5:$AM$705,P31+1)))</f>
        <v>30240000</v>
      </c>
      <c r="Y31" s="14">
        <f t="array" ref="Y31">IF(I31=0,0,Hitung!$D$6*IF(Hitung!$C$6="Conquest",INDEX($AL$5:$AL$705,Q31+I31+1)-INDEX($AL$5:$AL$705,Q31+1),INDEX($AM$5:$AM$705,Q31+I31+1)-INDEX($AM$5:$AM$705,Q31+1)))</f>
        <v>0</v>
      </c>
      <c r="Z31" s="14">
        <f t="array" ref="Z31">IF(J31=0,0,Hitung!$D$7*IF(Hitung!$C$7="Conquest",INDEX($AL$5:$AL$705,R31+J31+1)-INDEX($AL$5:$AL$705,R31+1),INDEX($AM$5:$AM$705,R31+J31+1)-INDEX($AM$5:$AM$705,R31+1)))</f>
        <v>2340000</v>
      </c>
      <c r="AA31" s="14">
        <f t="array" ref="AA31">IF(K31=0,0,Hitung!$D$8*IF(Hitung!$C$8="Conquest",INDEX($AL$5:$AL$705,S31+K31+1)-INDEX($AL$5:$AL$705,S31+1),INDEX($AM$5:$AM$705,S31+K31+1)-INDEX($AM$5:$AM$705,S31+1)))</f>
        <v>5184000</v>
      </c>
      <c r="AB31" s="14">
        <f t="array" ref="AB31">IF(L31=0,0,Hitung!$D$9*IF(Hitung!$C$9="Conquest",INDEX($AL$5:$AL$705,T31+L31+1)-INDEX($AL$5:$AL$705,T31+1),INDEX($AM$5:$AM$705,T31+L31+1)-INDEX($AM$5:$AM$705,T31+1)))</f>
        <v>0</v>
      </c>
      <c r="AC31" s="14">
        <f t="array" ref="AC31">IF(M31=0,0,Hitung!$D$10*IF(Hitung!$C$10="Conquest",INDEX($AL$5:$AL$705,U31+M31+1)-INDEX($AL$5:$AL$705,U31+1),INDEX($AM$5:$AM$705,U31+M31+1)-INDEX($AM$5:$AM$705,U31+1)))</f>
        <v>28800000</v>
      </c>
      <c r="AD31" s="14">
        <f t="array" ref="AD31">IF(N31=0,0,Hitung!$D$11*IF(Hitung!$C$11="Conquest",INDEX($AL$5:$AL$705,V31+N31+1)-INDEX($AL$5:$AL$705,V31+1),INDEX($AM$5:$AM$705,V31+N31+1)-INDEX($AM$5:$AM$705,V31+1)))</f>
        <v>0</v>
      </c>
      <c r="AE31" s="14">
        <f t="array" ref="AE31">IF(O31=0,0,Hitung!$D$12*IF(Hitung!$C$12="Conquest",INDEX($AL$5:$AL$705,W31+O31+1)-INDEX($AL$5:$AL$705,W31+1),INDEX($AM$5:$AM$705,W31+O31+1)-INDEX($AM$5:$AM$705,W31+1)))</f>
        <v>0</v>
      </c>
      <c r="AF31" s="14">
        <f t="shared" si="9"/>
        <v>66564000</v>
      </c>
      <c r="AG31" s="14">
        <f>IF(E31=1,AF31-Hitung!$AO$13,0)</f>
        <v>864000</v>
      </c>
      <c r="AH31" s="73">
        <f>IF(E31=1,Hitung!E8-Hitung!B18,0)</f>
        <v>45</v>
      </c>
      <c r="AI31" s="14">
        <f t="shared" si="10"/>
        <v>19200</v>
      </c>
      <c r="AK31" s="14">
        <v>26.0</v>
      </c>
      <c r="AL31" s="14">
        <f>AL30+SUMIFS(Setting!$E$30:$E$39,Setting!$A$30:$A$39,AL$4,Setting!$C$30:$C$39,"&lt;="&amp;($AK31-1),Setting!$D$30:$D$39,"&gt;="&amp;($AK31-1))</f>
        <v>26</v>
      </c>
      <c r="AM31" s="14">
        <f>AM30+SUMIFS(Setting!$E$30:$E$39,Setting!$A$30:$A$39,AM$4,Setting!$C$30:$C$39,"&lt;="&amp;($AK31-1),Setting!$D$30:$D$39,"&gt;="&amp;($AK31-1))</f>
        <v>26</v>
      </c>
    </row>
    <row r="32" ht="15.75" customHeight="1">
      <c r="A32" s="14">
        <v>2.0</v>
      </c>
      <c r="B32" s="14">
        <v>5.0</v>
      </c>
      <c r="C32" s="14" t="str">
        <f>Hitung!A18</f>
        <v>Roxarika</v>
      </c>
      <c r="D32" s="14" t="str">
        <f>Hitung!B9</f>
        <v>S3</v>
      </c>
      <c r="E32" s="14">
        <f>IF(AND(C32&lt;&gt;"",D32&lt;&gt;"",Hitung!B18&gt;0,Hitung!E9&gt;Hitung!B18,G32&lt;&gt;B32,F32&gt;0),1,0)</f>
        <v>1</v>
      </c>
      <c r="F32" s="25">
        <f>Hitung!D18</f>
        <v>21</v>
      </c>
      <c r="G32" s="14">
        <f>Hitung!X18</f>
        <v>3</v>
      </c>
      <c r="H32" s="14">
        <f>Hitung!$M$5-IF($G32=1,$F32,0)+IF($B32=1,$F32,0)</f>
        <v>105</v>
      </c>
      <c r="I32" s="14">
        <f>Hitung!$M$6-IF($G32=2,$F32,0)+IF($B32=2,$F32,0)</f>
        <v>0</v>
      </c>
      <c r="J32" s="25">
        <f>Hitung!$M$7-IF($G32=3,$F32,0)+IF($B32=3,$F32,0)</f>
        <v>21</v>
      </c>
      <c r="K32" s="14">
        <f>Hitung!$M$8-IF($G32=4,$F32,0)+IF($B32=4,$F32,0)</f>
        <v>0</v>
      </c>
      <c r="L32" s="25">
        <f>Hitung!$M$9-IF($G32=5,$F32,0)+IF($B32=5,$F32,0)</f>
        <v>21</v>
      </c>
      <c r="M32" s="14">
        <f>Hitung!$M$10-IF($G32=6,$F32,0)+IF($B32=6,$F32,0)</f>
        <v>61</v>
      </c>
      <c r="N32" s="14">
        <f>Hitung!$M$11-IF($G32=7,$F32,0)+IF($B32=7,$F32,0)</f>
        <v>0</v>
      </c>
      <c r="O32" s="14">
        <f>Hitung!$M$12-IF($G32=8,$F32,0)+IF($B32=8,$F32,0)</f>
        <v>0</v>
      </c>
      <c r="P32" s="14">
        <f t="shared" si="1"/>
        <v>0</v>
      </c>
      <c r="Q32" s="14">
        <f t="shared" si="2"/>
        <v>0</v>
      </c>
      <c r="R32" s="14">
        <f t="shared" si="3"/>
        <v>82</v>
      </c>
      <c r="S32" s="14">
        <f t="shared" si="4"/>
        <v>82</v>
      </c>
      <c r="T32" s="14">
        <f t="shared" si="5"/>
        <v>61</v>
      </c>
      <c r="U32" s="14">
        <f t="shared" si="6"/>
        <v>0</v>
      </c>
      <c r="V32" s="14">
        <f t="shared" si="7"/>
        <v>0</v>
      </c>
      <c r="W32" s="14">
        <f t="shared" si="8"/>
        <v>0</v>
      </c>
      <c r="X32" s="14">
        <f t="array" ref="X32">IF(H32=0,0,Hitung!$D$5*IF(Hitung!$C$5="Conquest",INDEX($AL$5:$AL$705,P32+H32+1)-INDEX($AL$5:$AL$705,P32+1),INDEX($AM$5:$AM$705,P32+H32+1)-INDEX($AM$5:$AM$705,P32+1)))</f>
        <v>30240000</v>
      </c>
      <c r="Y32" s="14">
        <f t="array" ref="Y32">IF(I32=0,0,Hitung!$D$6*IF(Hitung!$C$6="Conquest",INDEX($AL$5:$AL$705,Q32+I32+1)-INDEX($AL$5:$AL$705,Q32+1),INDEX($AM$5:$AM$705,Q32+I32+1)-INDEX($AM$5:$AM$705,Q32+1)))</f>
        <v>0</v>
      </c>
      <c r="Z32" s="14">
        <f t="array" ref="Z32">IF(J32=0,0,Hitung!$D$7*IF(Hitung!$C$7="Conquest",INDEX($AL$5:$AL$705,R32+J32+1)-INDEX($AL$5:$AL$705,R32+1),INDEX($AM$5:$AM$705,R32+J32+1)-INDEX($AM$5:$AM$705,R32+1)))</f>
        <v>2340000</v>
      </c>
      <c r="AA32" s="14">
        <f t="array" ref="AA32">IF(K32=0,0,Hitung!$D$8*IF(Hitung!$C$8="Conquest",INDEX($AL$5:$AL$705,S32+K32+1)-INDEX($AL$5:$AL$705,S32+1),INDEX($AM$5:$AM$705,S32+K32+1)-INDEX($AM$5:$AM$705,S32+1)))</f>
        <v>0</v>
      </c>
      <c r="AB32" s="14">
        <f t="array" ref="AB32">IF(L32=0,0,Hitung!$D$9*IF(Hitung!$C$9="Conquest",INDEX($AL$5:$AL$705,T32+L32+1)-INDEX($AL$5:$AL$705,T32+1),INDEX($AM$5:$AM$705,T32+L32+1)-INDEX($AM$5:$AM$705,T32+1)))</f>
        <v>6048000</v>
      </c>
      <c r="AC32" s="14">
        <f t="array" ref="AC32">IF(M32=0,0,Hitung!$D$10*IF(Hitung!$C$10="Conquest",INDEX($AL$5:$AL$705,U32+M32+1)-INDEX($AL$5:$AL$705,U32+1),INDEX($AM$5:$AM$705,U32+M32+1)-INDEX($AM$5:$AM$705,U32+1)))</f>
        <v>28800000</v>
      </c>
      <c r="AD32" s="14">
        <f t="array" ref="AD32">IF(N32=0,0,Hitung!$D$11*IF(Hitung!$C$11="Conquest",INDEX($AL$5:$AL$705,V32+N32+1)-INDEX($AL$5:$AL$705,V32+1),INDEX($AM$5:$AM$705,V32+N32+1)-INDEX($AM$5:$AM$705,V32+1)))</f>
        <v>0</v>
      </c>
      <c r="AE32" s="14">
        <f t="array" ref="AE32">IF(O32=0,0,Hitung!$D$12*IF(Hitung!$C$12="Conquest",INDEX($AL$5:$AL$705,W32+O32+1)-INDEX($AL$5:$AL$705,W32+1),INDEX($AM$5:$AM$705,W32+O32+1)-INDEX($AM$5:$AM$705,W32+1)))</f>
        <v>0</v>
      </c>
      <c r="AF32" s="14">
        <f t="shared" si="9"/>
        <v>67428000</v>
      </c>
      <c r="AG32" s="14">
        <f>IF(E32=1,AF32-Hitung!$AO$13,0)</f>
        <v>1728000</v>
      </c>
      <c r="AH32" s="73">
        <f>IF(E32=1,Hitung!E9-Hitung!B18,0)</f>
        <v>345</v>
      </c>
      <c r="AI32" s="14">
        <f t="shared" si="10"/>
        <v>5008.695652</v>
      </c>
      <c r="AK32" s="14">
        <v>27.0</v>
      </c>
      <c r="AL32" s="14">
        <f>AL31+SUMIFS(Setting!$E$30:$E$39,Setting!$A$30:$A$39,AL$4,Setting!$C$30:$C$39,"&lt;="&amp;($AK32-1),Setting!$D$30:$D$39,"&gt;="&amp;($AK32-1))</f>
        <v>27</v>
      </c>
      <c r="AM32" s="14">
        <f>AM31+SUMIFS(Setting!$E$30:$E$39,Setting!$A$30:$A$39,AM$4,Setting!$C$30:$C$39,"&lt;="&amp;($AK32-1),Setting!$D$30:$D$39,"&gt;="&amp;($AK32-1))</f>
        <v>27</v>
      </c>
    </row>
    <row r="33" ht="15.75" customHeight="1">
      <c r="A33" s="14">
        <v>2.0</v>
      </c>
      <c r="B33" s="14">
        <v>6.0</v>
      </c>
      <c r="C33" s="14" t="str">
        <f>Hitung!A18</f>
        <v>Roxarika</v>
      </c>
      <c r="D33" s="14" t="str">
        <f>Hitung!B10</f>
        <v>S4</v>
      </c>
      <c r="E33" s="14">
        <f>IF(AND(C33&lt;&gt;"",D33&lt;&gt;"",Hitung!B18&gt;0,Hitung!E10&gt;Hitung!B18,G33&lt;&gt;B33,F33&gt;0),1,0)</f>
        <v>1</v>
      </c>
      <c r="F33" s="25">
        <f>Hitung!D18</f>
        <v>21</v>
      </c>
      <c r="G33" s="14">
        <f>Hitung!X18</f>
        <v>3</v>
      </c>
      <c r="H33" s="14">
        <f>Hitung!$M$5-IF($G33=1,$F33,0)+IF($B33=1,$F33,0)</f>
        <v>105</v>
      </c>
      <c r="I33" s="14">
        <f>Hitung!$M$6-IF($G33=2,$F33,0)+IF($B33=2,$F33,0)</f>
        <v>0</v>
      </c>
      <c r="J33" s="25">
        <f>Hitung!$M$7-IF($G33=3,$F33,0)+IF($B33=3,$F33,0)</f>
        <v>21</v>
      </c>
      <c r="K33" s="14">
        <f>Hitung!$M$8-IF($G33=4,$F33,0)+IF($B33=4,$F33,0)</f>
        <v>0</v>
      </c>
      <c r="L33" s="14">
        <f>Hitung!$M$9-IF($G33=5,$F33,0)+IF($B33=5,$F33,0)</f>
        <v>0</v>
      </c>
      <c r="M33" s="25">
        <f>Hitung!$M$10-IF($G33=6,$F33,0)+IF($B33=6,$F33,0)</f>
        <v>82</v>
      </c>
      <c r="N33" s="14">
        <f>Hitung!$M$11-IF($G33=7,$F33,0)+IF($B33=7,$F33,0)</f>
        <v>0</v>
      </c>
      <c r="O33" s="14">
        <f>Hitung!$M$12-IF($G33=8,$F33,0)+IF($B33=8,$F33,0)</f>
        <v>0</v>
      </c>
      <c r="P33" s="14">
        <f t="shared" si="1"/>
        <v>0</v>
      </c>
      <c r="Q33" s="14">
        <f t="shared" si="2"/>
        <v>0</v>
      </c>
      <c r="R33" s="14">
        <f t="shared" si="3"/>
        <v>82</v>
      </c>
      <c r="S33" s="14">
        <f t="shared" si="4"/>
        <v>82</v>
      </c>
      <c r="T33" s="14">
        <f t="shared" si="5"/>
        <v>82</v>
      </c>
      <c r="U33" s="14">
        <f t="shared" si="6"/>
        <v>0</v>
      </c>
      <c r="V33" s="14">
        <f t="shared" si="7"/>
        <v>0</v>
      </c>
      <c r="W33" s="14">
        <f t="shared" si="8"/>
        <v>0</v>
      </c>
      <c r="X33" s="14">
        <f t="array" ref="X33">IF(H33=0,0,Hitung!$D$5*IF(Hitung!$C$5="Conquest",INDEX($AL$5:$AL$705,P33+H33+1)-INDEX($AL$5:$AL$705,P33+1),INDEX($AM$5:$AM$705,P33+H33+1)-INDEX($AM$5:$AM$705,P33+1)))</f>
        <v>30240000</v>
      </c>
      <c r="Y33" s="14">
        <f t="array" ref="Y33">IF(I33=0,0,Hitung!$D$6*IF(Hitung!$C$6="Conquest",INDEX($AL$5:$AL$705,Q33+I33+1)-INDEX($AL$5:$AL$705,Q33+1),INDEX($AM$5:$AM$705,Q33+I33+1)-INDEX($AM$5:$AM$705,Q33+1)))</f>
        <v>0</v>
      </c>
      <c r="Z33" s="14">
        <f t="array" ref="Z33">IF(J33=0,0,Hitung!$D$7*IF(Hitung!$C$7="Conquest",INDEX($AL$5:$AL$705,R33+J33+1)-INDEX($AL$5:$AL$705,R33+1),INDEX($AM$5:$AM$705,R33+J33+1)-INDEX($AM$5:$AM$705,R33+1)))</f>
        <v>2340000</v>
      </c>
      <c r="AA33" s="14">
        <f t="array" ref="AA33">IF(K33=0,0,Hitung!$D$8*IF(Hitung!$C$8="Conquest",INDEX($AL$5:$AL$705,S33+K33+1)-INDEX($AL$5:$AL$705,S33+1),INDEX($AM$5:$AM$705,S33+K33+1)-INDEX($AM$5:$AM$705,S33+1)))</f>
        <v>0</v>
      </c>
      <c r="AB33" s="14">
        <f t="array" ref="AB33">IF(L33=0,0,Hitung!$D$9*IF(Hitung!$C$9="Conquest",INDEX($AL$5:$AL$705,T33+L33+1)-INDEX($AL$5:$AL$705,T33+1),INDEX($AM$5:$AM$705,T33+L33+1)-INDEX($AM$5:$AM$705,T33+1)))</f>
        <v>0</v>
      </c>
      <c r="AC33" s="14">
        <f t="array" ref="AC33">IF(M33=0,0,Hitung!$D$10*IF(Hitung!$C$10="Conquest",INDEX($AL$5:$AL$705,U33+M33+1)-INDEX($AL$5:$AL$705,U33+1),INDEX($AM$5:$AM$705,U33+M33+1)-INDEX($AM$5:$AM$705,U33+1)))</f>
        <v>35712000</v>
      </c>
      <c r="AD33" s="14">
        <f t="array" ref="AD33">IF(N33=0,0,Hitung!$D$11*IF(Hitung!$C$11="Conquest",INDEX($AL$5:$AL$705,V33+N33+1)-INDEX($AL$5:$AL$705,V33+1),INDEX($AM$5:$AM$705,V33+N33+1)-INDEX($AM$5:$AM$705,V33+1)))</f>
        <v>0</v>
      </c>
      <c r="AE33" s="14">
        <f t="array" ref="AE33">IF(O33=0,0,Hitung!$D$12*IF(Hitung!$C$12="Conquest",INDEX($AL$5:$AL$705,W33+O33+1)-INDEX($AL$5:$AL$705,W33+1),INDEX($AM$5:$AM$705,W33+O33+1)-INDEX($AM$5:$AM$705,W33+1)))</f>
        <v>0</v>
      </c>
      <c r="AF33" s="14">
        <f t="shared" si="9"/>
        <v>68292000</v>
      </c>
      <c r="AG33" s="14">
        <f>IF(E33=1,AF33-Hitung!$AO$13,0)</f>
        <v>2592000</v>
      </c>
      <c r="AH33" s="73">
        <f>IF(E33=1,Hitung!E10-Hitung!B18,0)</f>
        <v>645</v>
      </c>
      <c r="AI33" s="14">
        <f t="shared" si="10"/>
        <v>4018.604651</v>
      </c>
      <c r="AK33" s="14">
        <v>28.0</v>
      </c>
      <c r="AL33" s="14">
        <f>AL32+SUMIFS(Setting!$E$30:$E$39,Setting!$A$30:$A$39,AL$4,Setting!$C$30:$C$39,"&lt;="&amp;($AK33-1),Setting!$D$30:$D$39,"&gt;="&amp;($AK33-1))</f>
        <v>28</v>
      </c>
      <c r="AM33" s="14">
        <f>AM32+SUMIFS(Setting!$E$30:$E$39,Setting!$A$30:$A$39,AM$4,Setting!$C$30:$C$39,"&lt;="&amp;($AK33-1),Setting!$D$30:$D$39,"&gt;="&amp;($AK33-1))</f>
        <v>28</v>
      </c>
    </row>
    <row r="34" ht="15.75" customHeight="1">
      <c r="A34" s="14">
        <v>2.0</v>
      </c>
      <c r="B34" s="14">
        <v>7.0</v>
      </c>
      <c r="C34" s="14" t="str">
        <f>Hitung!A18</f>
        <v>Roxarika</v>
      </c>
      <c r="D34" s="14" t="str">
        <f>Hitung!B11</f>
        <v/>
      </c>
      <c r="E34" s="14">
        <f>IF(AND(C34&lt;&gt;"",D34&lt;&gt;"",Hitung!B18&gt;0,Hitung!E11&gt;Hitung!B18,G34&lt;&gt;B34,F34&gt;0),1,0)</f>
        <v>0</v>
      </c>
      <c r="F34" s="25">
        <f>Hitung!D18</f>
        <v>21</v>
      </c>
      <c r="G34" s="14">
        <f>Hitung!X18</f>
        <v>3</v>
      </c>
      <c r="H34" s="14">
        <f>Hitung!$M$5-IF($G34=1,$F34,0)+IF($B34=1,$F34,0)</f>
        <v>105</v>
      </c>
      <c r="I34" s="14">
        <f>Hitung!$M$6-IF($G34=2,$F34,0)+IF($B34=2,$F34,0)</f>
        <v>0</v>
      </c>
      <c r="J34" s="25">
        <f>Hitung!$M$7-IF($G34=3,$F34,0)+IF($B34=3,$F34,0)</f>
        <v>21</v>
      </c>
      <c r="K34" s="14">
        <f>Hitung!$M$8-IF($G34=4,$F34,0)+IF($B34=4,$F34,0)</f>
        <v>0</v>
      </c>
      <c r="L34" s="14">
        <f>Hitung!$M$9-IF($G34=5,$F34,0)+IF($B34=5,$F34,0)</f>
        <v>0</v>
      </c>
      <c r="M34" s="14">
        <f>Hitung!$M$10-IF($G34=6,$F34,0)+IF($B34=6,$F34,0)</f>
        <v>61</v>
      </c>
      <c r="N34" s="25">
        <f>Hitung!$M$11-IF($G34=7,$F34,0)+IF($B34=7,$F34,0)</f>
        <v>21</v>
      </c>
      <c r="O34" s="14">
        <f>Hitung!$M$12-IF($G34=8,$F34,0)+IF($B34=8,$F34,0)</f>
        <v>0</v>
      </c>
      <c r="P34" s="14">
        <f t="shared" si="1"/>
        <v>0</v>
      </c>
      <c r="Q34" s="14">
        <f t="shared" si="2"/>
        <v>0</v>
      </c>
      <c r="R34" s="14">
        <f t="shared" si="3"/>
        <v>61</v>
      </c>
      <c r="S34" s="14">
        <f t="shared" si="4"/>
        <v>61</v>
      </c>
      <c r="T34" s="14">
        <f t="shared" si="5"/>
        <v>61</v>
      </c>
      <c r="U34" s="14">
        <f t="shared" si="6"/>
        <v>0</v>
      </c>
      <c r="V34" s="14">
        <f t="shared" si="7"/>
        <v>0</v>
      </c>
      <c r="W34" s="14">
        <f t="shared" si="8"/>
        <v>0</v>
      </c>
      <c r="X34" s="14">
        <f t="array" ref="X34">IF(H34=0,0,Hitung!$D$5*IF(Hitung!$C$5="Conquest",INDEX($AL$5:$AL$705,P34+H34+1)-INDEX($AL$5:$AL$705,P34+1),INDEX($AM$5:$AM$705,P34+H34+1)-INDEX($AM$5:$AM$705,P34+1)))</f>
        <v>30240000</v>
      </c>
      <c r="Y34" s="14">
        <f t="array" ref="Y34">IF(I34=0,0,Hitung!$D$6*IF(Hitung!$C$6="Conquest",INDEX($AL$5:$AL$705,Q34+I34+1)-INDEX($AL$5:$AL$705,Q34+1),INDEX($AM$5:$AM$705,Q34+I34+1)-INDEX($AM$5:$AM$705,Q34+1)))</f>
        <v>0</v>
      </c>
      <c r="Z34" s="14">
        <f t="array" ref="Z34">IF(J34=0,0,Hitung!$D$7*IF(Hitung!$C$7="Conquest",INDEX($AL$5:$AL$705,R34+J34+1)-INDEX($AL$5:$AL$705,R34+1),INDEX($AM$5:$AM$705,R34+J34+1)-INDEX($AM$5:$AM$705,R34+1)))</f>
        <v>4320000</v>
      </c>
      <c r="AA34" s="14">
        <f t="array" ref="AA34">IF(K34=0,0,Hitung!$D$8*IF(Hitung!$C$8="Conquest",INDEX($AL$5:$AL$705,S34+K34+1)-INDEX($AL$5:$AL$705,S34+1),INDEX($AM$5:$AM$705,S34+K34+1)-INDEX($AM$5:$AM$705,S34+1)))</f>
        <v>0</v>
      </c>
      <c r="AB34" s="14">
        <f t="array" ref="AB34">IF(L34=0,0,Hitung!$D$9*IF(Hitung!$C$9="Conquest",INDEX($AL$5:$AL$705,T34+L34+1)-INDEX($AL$5:$AL$705,T34+1),INDEX($AM$5:$AM$705,T34+L34+1)-INDEX($AM$5:$AM$705,T34+1)))</f>
        <v>0</v>
      </c>
      <c r="AC34" s="14">
        <f t="array" ref="AC34">IF(M34=0,0,Hitung!$D$10*IF(Hitung!$C$10="Conquest",INDEX($AL$5:$AL$705,U34+M34+1)-INDEX($AL$5:$AL$705,U34+1),INDEX($AM$5:$AM$705,U34+M34+1)-INDEX($AM$5:$AM$705,U34+1)))</f>
        <v>28800000</v>
      </c>
      <c r="AD34" s="14">
        <f t="array" ref="AD34">IF(N34=0,0,Hitung!$D$11*IF(Hitung!$C$11="Conquest",INDEX($AL$5:$AL$705,V34+N34+1)-INDEX($AL$5:$AL$705,V34+1),INDEX($AM$5:$AM$705,V34+N34+1)-INDEX($AM$5:$AM$705,V34+1)))</f>
        <v>0</v>
      </c>
      <c r="AE34" s="14">
        <f t="array" ref="AE34">IF(O34=0,0,Hitung!$D$12*IF(Hitung!$C$12="Conquest",INDEX($AL$5:$AL$705,W34+O34+1)-INDEX($AL$5:$AL$705,W34+1),INDEX($AM$5:$AM$705,W34+O34+1)-INDEX($AM$5:$AM$705,W34+1)))</f>
        <v>0</v>
      </c>
      <c r="AF34" s="14">
        <f t="shared" si="9"/>
        <v>63360000</v>
      </c>
      <c r="AG34" s="14">
        <f>IF(E34=1,AF34-Hitung!$AO$13,0)</f>
        <v>0</v>
      </c>
      <c r="AH34" s="14">
        <f>IF(E34=1,Hitung!E11-Hitung!B18,0)</f>
        <v>0</v>
      </c>
      <c r="AI34" s="14">
        <f t="shared" si="10"/>
        <v>0</v>
      </c>
      <c r="AK34" s="14">
        <v>29.0</v>
      </c>
      <c r="AL34" s="14">
        <f>AL33+SUMIFS(Setting!$E$30:$E$39,Setting!$A$30:$A$39,AL$4,Setting!$C$30:$C$39,"&lt;="&amp;($AK34-1),Setting!$D$30:$D$39,"&gt;="&amp;($AK34-1))</f>
        <v>29</v>
      </c>
      <c r="AM34" s="14">
        <f>AM33+SUMIFS(Setting!$E$30:$E$39,Setting!$A$30:$A$39,AM$4,Setting!$C$30:$C$39,"&lt;="&amp;($AK34-1),Setting!$D$30:$D$39,"&gt;="&amp;($AK34-1))</f>
        <v>29</v>
      </c>
    </row>
    <row r="35" ht="15.75" customHeight="1">
      <c r="A35" s="14">
        <v>2.0</v>
      </c>
      <c r="B35" s="14">
        <v>8.0</v>
      </c>
      <c r="C35" s="14" t="str">
        <f>Hitung!A18</f>
        <v>Roxarika</v>
      </c>
      <c r="D35" s="14" t="str">
        <f>Hitung!B12</f>
        <v/>
      </c>
      <c r="E35" s="14">
        <f>IF(AND(C35&lt;&gt;"",D35&lt;&gt;"",Hitung!B18&gt;0,Hitung!E12&gt;Hitung!B18,G35&lt;&gt;B35,F35&gt;0),1,0)</f>
        <v>0</v>
      </c>
      <c r="F35" s="25">
        <f>Hitung!D18</f>
        <v>21</v>
      </c>
      <c r="G35" s="14">
        <f>Hitung!X18</f>
        <v>3</v>
      </c>
      <c r="H35" s="14">
        <f>Hitung!$M$5-IF($G35=1,$F35,0)+IF($B35=1,$F35,0)</f>
        <v>105</v>
      </c>
      <c r="I35" s="14">
        <f>Hitung!$M$6-IF($G35=2,$F35,0)+IF($B35=2,$F35,0)</f>
        <v>0</v>
      </c>
      <c r="J35" s="25">
        <f>Hitung!$M$7-IF($G35=3,$F35,0)+IF($B35=3,$F35,0)</f>
        <v>21</v>
      </c>
      <c r="K35" s="14">
        <f>Hitung!$M$8-IF($G35=4,$F35,0)+IF($B35=4,$F35,0)</f>
        <v>0</v>
      </c>
      <c r="L35" s="14">
        <f>Hitung!$M$9-IF($G35=5,$F35,0)+IF($B35=5,$F35,0)</f>
        <v>0</v>
      </c>
      <c r="M35" s="14">
        <f>Hitung!$M$10-IF($G35=6,$F35,0)+IF($B35=6,$F35,0)</f>
        <v>61</v>
      </c>
      <c r="N35" s="14">
        <f>Hitung!$M$11-IF($G35=7,$F35,0)+IF($B35=7,$F35,0)</f>
        <v>0</v>
      </c>
      <c r="O35" s="25">
        <f>Hitung!$M$12-IF($G35=8,$F35,0)+IF($B35=8,$F35,0)</f>
        <v>21</v>
      </c>
      <c r="P35" s="14">
        <f t="shared" si="1"/>
        <v>0</v>
      </c>
      <c r="Q35" s="14">
        <f t="shared" si="2"/>
        <v>0</v>
      </c>
      <c r="R35" s="14">
        <f t="shared" si="3"/>
        <v>61</v>
      </c>
      <c r="S35" s="14">
        <f t="shared" si="4"/>
        <v>61</v>
      </c>
      <c r="T35" s="14">
        <f t="shared" si="5"/>
        <v>61</v>
      </c>
      <c r="U35" s="14">
        <f t="shared" si="6"/>
        <v>0</v>
      </c>
      <c r="V35" s="14">
        <f t="shared" si="7"/>
        <v>0</v>
      </c>
      <c r="W35" s="14">
        <f t="shared" si="8"/>
        <v>0</v>
      </c>
      <c r="X35" s="14">
        <f t="array" ref="X35">IF(H35=0,0,Hitung!$D$5*IF(Hitung!$C$5="Conquest",INDEX($AL$5:$AL$705,P35+H35+1)-INDEX($AL$5:$AL$705,P35+1),INDEX($AM$5:$AM$705,P35+H35+1)-INDEX($AM$5:$AM$705,P35+1)))</f>
        <v>30240000</v>
      </c>
      <c r="Y35" s="14">
        <f t="array" ref="Y35">IF(I35=0,0,Hitung!$D$6*IF(Hitung!$C$6="Conquest",INDEX($AL$5:$AL$705,Q35+I35+1)-INDEX($AL$5:$AL$705,Q35+1),INDEX($AM$5:$AM$705,Q35+I35+1)-INDEX($AM$5:$AM$705,Q35+1)))</f>
        <v>0</v>
      </c>
      <c r="Z35" s="14">
        <f t="array" ref="Z35">IF(J35=0,0,Hitung!$D$7*IF(Hitung!$C$7="Conquest",INDEX($AL$5:$AL$705,R35+J35+1)-INDEX($AL$5:$AL$705,R35+1),INDEX($AM$5:$AM$705,R35+J35+1)-INDEX($AM$5:$AM$705,R35+1)))</f>
        <v>4320000</v>
      </c>
      <c r="AA35" s="14">
        <f t="array" ref="AA35">IF(K35=0,0,Hitung!$D$8*IF(Hitung!$C$8="Conquest",INDEX($AL$5:$AL$705,S35+K35+1)-INDEX($AL$5:$AL$705,S35+1),INDEX($AM$5:$AM$705,S35+K35+1)-INDEX($AM$5:$AM$705,S35+1)))</f>
        <v>0</v>
      </c>
      <c r="AB35" s="14">
        <f t="array" ref="AB35">IF(L35=0,0,Hitung!$D$9*IF(Hitung!$C$9="Conquest",INDEX($AL$5:$AL$705,T35+L35+1)-INDEX($AL$5:$AL$705,T35+1),INDEX($AM$5:$AM$705,T35+L35+1)-INDEX($AM$5:$AM$705,T35+1)))</f>
        <v>0</v>
      </c>
      <c r="AC35" s="14">
        <f t="array" ref="AC35">IF(M35=0,0,Hitung!$D$10*IF(Hitung!$C$10="Conquest",INDEX($AL$5:$AL$705,U35+M35+1)-INDEX($AL$5:$AL$705,U35+1),INDEX($AM$5:$AM$705,U35+M35+1)-INDEX($AM$5:$AM$705,U35+1)))</f>
        <v>28800000</v>
      </c>
      <c r="AD35" s="14">
        <f t="array" ref="AD35">IF(N35=0,0,Hitung!$D$11*IF(Hitung!$C$11="Conquest",INDEX($AL$5:$AL$705,V35+N35+1)-INDEX($AL$5:$AL$705,V35+1),INDEX($AM$5:$AM$705,V35+N35+1)-INDEX($AM$5:$AM$705,V35+1)))</f>
        <v>0</v>
      </c>
      <c r="AE35" s="14">
        <f t="array" ref="AE35">IF(O35=0,0,Hitung!$D$12*IF(Hitung!$C$12="Conquest",INDEX($AL$5:$AL$705,W35+O35+1)-INDEX($AL$5:$AL$705,W35+1),INDEX($AM$5:$AM$705,W35+O35+1)-INDEX($AM$5:$AM$705,W35+1)))</f>
        <v>0</v>
      </c>
      <c r="AF35" s="14">
        <f t="shared" si="9"/>
        <v>63360000</v>
      </c>
      <c r="AG35" s="14">
        <f>IF(E35=1,AF35-Hitung!$AO$13,0)</f>
        <v>0</v>
      </c>
      <c r="AH35" s="14">
        <f>IF(E35=1,Hitung!E12-Hitung!B18,0)</f>
        <v>0</v>
      </c>
      <c r="AI35" s="14">
        <f t="shared" si="10"/>
        <v>0</v>
      </c>
      <c r="AK35" s="14">
        <v>30.0</v>
      </c>
      <c r="AL35" s="14">
        <f>AL34+SUMIFS(Setting!$E$30:$E$39,Setting!$A$30:$A$39,AL$4,Setting!$C$30:$C$39,"&lt;="&amp;($AK35-1),Setting!$D$30:$D$39,"&gt;="&amp;($AK35-1))</f>
        <v>30</v>
      </c>
      <c r="AM35" s="14">
        <f>AM34+SUMIFS(Setting!$E$30:$E$39,Setting!$A$30:$A$39,AM$4,Setting!$C$30:$C$39,"&lt;="&amp;($AK35-1),Setting!$D$30:$D$39,"&gt;="&amp;($AK35-1))</f>
        <v>30</v>
      </c>
    </row>
    <row r="36" ht="15.75" customHeight="1">
      <c r="A36" s="14">
        <v>3.0</v>
      </c>
      <c r="B36" s="14">
        <v>1.0</v>
      </c>
      <c r="C36" s="14" t="str">
        <f>Hitung!A19</f>
        <v>Crosley</v>
      </c>
      <c r="D36" s="14" t="str">
        <f>Hitung!B5</f>
        <v>T2</v>
      </c>
      <c r="E36" s="14">
        <f>IF(AND(C36&lt;&gt;"",D36&lt;&gt;"",Hitung!B19&gt;0,Hitung!E5&gt;Hitung!B19,G36&lt;&gt;B36,F36&gt;0),1,0)</f>
        <v>0</v>
      </c>
      <c r="F36" s="25">
        <f>Hitung!D19</f>
        <v>21</v>
      </c>
      <c r="G36" s="14">
        <f>Hitung!X19</f>
        <v>1</v>
      </c>
      <c r="H36" s="25">
        <f>Hitung!$M$5-IF($G36=1,$F36,0)+IF($B36=1,$F36,0)</f>
        <v>105</v>
      </c>
      <c r="I36" s="14">
        <f>Hitung!$M$6-IF($G36=2,$F36,0)+IF($B36=2,$F36,0)</f>
        <v>0</v>
      </c>
      <c r="J36" s="14">
        <f>Hitung!$M$7-IF($G36=3,$F36,0)+IF($B36=3,$F36,0)</f>
        <v>42</v>
      </c>
      <c r="K36" s="14">
        <f>Hitung!$M$8-IF($G36=4,$F36,0)+IF($B36=4,$F36,0)</f>
        <v>0</v>
      </c>
      <c r="L36" s="14">
        <f>Hitung!$M$9-IF($G36=5,$F36,0)+IF($B36=5,$F36,0)</f>
        <v>0</v>
      </c>
      <c r="M36" s="14">
        <f>Hitung!$M$10-IF($G36=6,$F36,0)+IF($B36=6,$F36,0)</f>
        <v>61</v>
      </c>
      <c r="N36" s="14">
        <f>Hitung!$M$11-IF($G36=7,$F36,0)+IF($B36=7,$F36,0)</f>
        <v>0</v>
      </c>
      <c r="O36" s="14">
        <f>Hitung!$M$12-IF($G36=8,$F36,0)+IF($B36=8,$F36,0)</f>
        <v>0</v>
      </c>
      <c r="P36" s="14">
        <f t="shared" si="1"/>
        <v>0</v>
      </c>
      <c r="Q36" s="14">
        <f t="shared" si="2"/>
        <v>0</v>
      </c>
      <c r="R36" s="14">
        <f t="shared" si="3"/>
        <v>61</v>
      </c>
      <c r="S36" s="14">
        <f t="shared" si="4"/>
        <v>61</v>
      </c>
      <c r="T36" s="14">
        <f t="shared" si="5"/>
        <v>61</v>
      </c>
      <c r="U36" s="14">
        <f t="shared" si="6"/>
        <v>0</v>
      </c>
      <c r="V36" s="14">
        <f t="shared" si="7"/>
        <v>0</v>
      </c>
      <c r="W36" s="14">
        <f t="shared" si="8"/>
        <v>0</v>
      </c>
      <c r="X36" s="14">
        <f t="array" ref="X36">IF(H36=0,0,Hitung!$D$5*IF(Hitung!$C$5="Conquest",INDEX($AL$5:$AL$705,P36+H36+1)-INDEX($AL$5:$AL$705,P36+1),INDEX($AM$5:$AM$705,P36+H36+1)-INDEX($AM$5:$AM$705,P36+1)))</f>
        <v>30240000</v>
      </c>
      <c r="Y36" s="14">
        <f t="array" ref="Y36">IF(I36=0,0,Hitung!$D$6*IF(Hitung!$C$6="Conquest",INDEX($AL$5:$AL$705,Q36+I36+1)-INDEX($AL$5:$AL$705,Q36+1),INDEX($AM$5:$AM$705,Q36+I36+1)-INDEX($AM$5:$AM$705,Q36+1)))</f>
        <v>0</v>
      </c>
      <c r="Z36" s="14">
        <f t="array" ref="Z36">IF(J36=0,0,Hitung!$D$7*IF(Hitung!$C$7="Conquest",INDEX($AL$5:$AL$705,R36+J36+1)-INDEX($AL$5:$AL$705,R36+1),INDEX($AM$5:$AM$705,R36+J36+1)-INDEX($AM$5:$AM$705,R36+1)))</f>
        <v>6660000</v>
      </c>
      <c r="AA36" s="14">
        <f t="array" ref="AA36">IF(K36=0,0,Hitung!$D$8*IF(Hitung!$C$8="Conquest",INDEX($AL$5:$AL$705,S36+K36+1)-INDEX($AL$5:$AL$705,S36+1),INDEX($AM$5:$AM$705,S36+K36+1)-INDEX($AM$5:$AM$705,S36+1)))</f>
        <v>0</v>
      </c>
      <c r="AB36" s="14">
        <f t="array" ref="AB36">IF(L36=0,0,Hitung!$D$9*IF(Hitung!$C$9="Conquest",INDEX($AL$5:$AL$705,T36+L36+1)-INDEX($AL$5:$AL$705,T36+1),INDEX($AM$5:$AM$705,T36+L36+1)-INDEX($AM$5:$AM$705,T36+1)))</f>
        <v>0</v>
      </c>
      <c r="AC36" s="14">
        <f t="array" ref="AC36">IF(M36=0,0,Hitung!$D$10*IF(Hitung!$C$10="Conquest",INDEX($AL$5:$AL$705,U36+M36+1)-INDEX($AL$5:$AL$705,U36+1),INDEX($AM$5:$AM$705,U36+M36+1)-INDEX($AM$5:$AM$705,U36+1)))</f>
        <v>28800000</v>
      </c>
      <c r="AD36" s="14">
        <f t="array" ref="AD36">IF(N36=0,0,Hitung!$D$11*IF(Hitung!$C$11="Conquest",INDEX($AL$5:$AL$705,V36+N36+1)-INDEX($AL$5:$AL$705,V36+1),INDEX($AM$5:$AM$705,V36+N36+1)-INDEX($AM$5:$AM$705,V36+1)))</f>
        <v>0</v>
      </c>
      <c r="AE36" s="14">
        <f t="array" ref="AE36">IF(O36=0,0,Hitung!$D$12*IF(Hitung!$C$12="Conquest",INDEX($AL$5:$AL$705,W36+O36+1)-INDEX($AL$5:$AL$705,W36+1),INDEX($AM$5:$AM$705,W36+O36+1)-INDEX($AM$5:$AM$705,W36+1)))</f>
        <v>0</v>
      </c>
      <c r="AF36" s="14">
        <f t="shared" si="9"/>
        <v>65700000</v>
      </c>
      <c r="AG36" s="14">
        <f>IF(E36=1,AF36-Hitung!$AO$13,0)</f>
        <v>0</v>
      </c>
      <c r="AH36" s="14">
        <f>IF(E36=1,Hitung!E5-Hitung!B19,0)</f>
        <v>0</v>
      </c>
      <c r="AI36" s="14">
        <f t="shared" si="10"/>
        <v>0</v>
      </c>
      <c r="AK36" s="14">
        <v>31.0</v>
      </c>
      <c r="AL36" s="14">
        <f>AL35+SUMIFS(Setting!$E$30:$E$39,Setting!$A$30:$A$39,AL$4,Setting!$C$30:$C$39,"&lt;="&amp;($AK36-1),Setting!$D$30:$D$39,"&gt;="&amp;($AK36-1))</f>
        <v>31</v>
      </c>
      <c r="AM36" s="14">
        <f>AM35+SUMIFS(Setting!$E$30:$E$39,Setting!$A$30:$A$39,AM$4,Setting!$C$30:$C$39,"&lt;="&amp;($AK36-1),Setting!$D$30:$D$39,"&gt;="&amp;($AK36-1))</f>
        <v>31</v>
      </c>
    </row>
    <row r="37" ht="15.75" customHeight="1">
      <c r="A37" s="14">
        <v>3.0</v>
      </c>
      <c r="B37" s="14">
        <v>2.0</v>
      </c>
      <c r="C37" s="14" t="str">
        <f>Hitung!A19</f>
        <v>Crosley</v>
      </c>
      <c r="D37" s="14" t="str">
        <f>Hitung!B6</f>
        <v>T3</v>
      </c>
      <c r="E37" s="14">
        <f>IF(AND(C37&lt;&gt;"",D37&lt;&gt;"",Hitung!B19&gt;0,Hitung!E6&gt;Hitung!B19,G37&lt;&gt;B37,F37&gt;0),1,0)</f>
        <v>1</v>
      </c>
      <c r="F37" s="25">
        <f>Hitung!D19</f>
        <v>21</v>
      </c>
      <c r="G37" s="14">
        <f>Hitung!X19</f>
        <v>1</v>
      </c>
      <c r="H37" s="25">
        <f>Hitung!$M$5-IF($G37=1,$F37,0)+IF($B37=1,$F37,0)</f>
        <v>84</v>
      </c>
      <c r="I37" s="25">
        <f>Hitung!$M$6-IF($G37=2,$F37,0)+IF($B37=2,$F37,0)</f>
        <v>21</v>
      </c>
      <c r="J37" s="14">
        <f>Hitung!$M$7-IF($G37=3,$F37,0)+IF($B37=3,$F37,0)</f>
        <v>42</v>
      </c>
      <c r="K37" s="14">
        <f>Hitung!$M$8-IF($G37=4,$F37,0)+IF($B37=4,$F37,0)</f>
        <v>0</v>
      </c>
      <c r="L37" s="14">
        <f>Hitung!$M$9-IF($G37=5,$F37,0)+IF($B37=5,$F37,0)</f>
        <v>0</v>
      </c>
      <c r="M37" s="14">
        <f>Hitung!$M$10-IF($G37=6,$F37,0)+IF($B37=6,$F37,0)</f>
        <v>61</v>
      </c>
      <c r="N37" s="14">
        <f>Hitung!$M$11-IF($G37=7,$F37,0)+IF($B37=7,$F37,0)</f>
        <v>0</v>
      </c>
      <c r="O37" s="14">
        <f>Hitung!$M$12-IF($G37=8,$F37,0)+IF($B37=8,$F37,0)</f>
        <v>0</v>
      </c>
      <c r="P37" s="14">
        <f t="shared" si="1"/>
        <v>21</v>
      </c>
      <c r="Q37" s="14">
        <f t="shared" si="2"/>
        <v>0</v>
      </c>
      <c r="R37" s="14">
        <f t="shared" si="3"/>
        <v>61</v>
      </c>
      <c r="S37" s="14">
        <f t="shared" si="4"/>
        <v>61</v>
      </c>
      <c r="T37" s="14">
        <f t="shared" si="5"/>
        <v>61</v>
      </c>
      <c r="U37" s="14">
        <f t="shared" si="6"/>
        <v>0</v>
      </c>
      <c r="V37" s="14">
        <f t="shared" si="7"/>
        <v>0</v>
      </c>
      <c r="W37" s="14">
        <f t="shared" si="8"/>
        <v>0</v>
      </c>
      <c r="X37" s="14">
        <f t="array" ref="X37">IF(H37=0,0,Hitung!$D$5*IF(Hitung!$C$5="Conquest",INDEX($AL$5:$AL$705,P37+H37+1)-INDEX($AL$5:$AL$705,P37+1),INDEX($AM$5:$AM$705,P37+H37+1)-INDEX($AM$5:$AM$705,P37+1)))</f>
        <v>23940000</v>
      </c>
      <c r="Y37" s="14">
        <f t="array" ref="Y37">IF(I37=0,0,Hitung!$D$6*IF(Hitung!$C$6="Conquest",INDEX($AL$5:$AL$705,Q37+I37+1)-INDEX($AL$5:$AL$705,Q37+1),INDEX($AM$5:$AM$705,Q37+I37+1)-INDEX($AM$5:$AM$705,Q37+1)))</f>
        <v>8400000</v>
      </c>
      <c r="Z37" s="14">
        <f t="array" ref="Z37">IF(J37=0,0,Hitung!$D$7*IF(Hitung!$C$7="Conquest",INDEX($AL$5:$AL$705,R37+J37+1)-INDEX($AL$5:$AL$705,R37+1),INDEX($AM$5:$AM$705,R37+J37+1)-INDEX($AM$5:$AM$705,R37+1)))</f>
        <v>6660000</v>
      </c>
      <c r="AA37" s="14">
        <f t="array" ref="AA37">IF(K37=0,0,Hitung!$D$8*IF(Hitung!$C$8="Conquest",INDEX($AL$5:$AL$705,S37+K37+1)-INDEX($AL$5:$AL$705,S37+1),INDEX($AM$5:$AM$705,S37+K37+1)-INDEX($AM$5:$AM$705,S37+1)))</f>
        <v>0</v>
      </c>
      <c r="AB37" s="14">
        <f t="array" ref="AB37">IF(L37=0,0,Hitung!$D$9*IF(Hitung!$C$9="Conquest",INDEX($AL$5:$AL$705,T37+L37+1)-INDEX($AL$5:$AL$705,T37+1),INDEX($AM$5:$AM$705,T37+L37+1)-INDEX($AM$5:$AM$705,T37+1)))</f>
        <v>0</v>
      </c>
      <c r="AC37" s="14">
        <f t="array" ref="AC37">IF(M37=0,0,Hitung!$D$10*IF(Hitung!$C$10="Conquest",INDEX($AL$5:$AL$705,U37+M37+1)-INDEX($AL$5:$AL$705,U37+1),INDEX($AM$5:$AM$705,U37+M37+1)-INDEX($AM$5:$AM$705,U37+1)))</f>
        <v>28800000</v>
      </c>
      <c r="AD37" s="14">
        <f t="array" ref="AD37">IF(N37=0,0,Hitung!$D$11*IF(Hitung!$C$11="Conquest",INDEX($AL$5:$AL$705,V37+N37+1)-INDEX($AL$5:$AL$705,V37+1),INDEX($AM$5:$AM$705,V37+N37+1)-INDEX($AM$5:$AM$705,V37+1)))</f>
        <v>0</v>
      </c>
      <c r="AE37" s="14">
        <f t="array" ref="AE37">IF(O37=0,0,Hitung!$D$12*IF(Hitung!$C$12="Conquest",INDEX($AL$5:$AL$705,W37+O37+1)-INDEX($AL$5:$AL$705,W37+1),INDEX($AM$5:$AM$705,W37+O37+1)-INDEX($AM$5:$AM$705,W37+1)))</f>
        <v>0</v>
      </c>
      <c r="AF37" s="14">
        <f t="shared" si="9"/>
        <v>67800000</v>
      </c>
      <c r="AG37" s="14">
        <f>IF(E37=1,AF37-Hitung!$AO$13,0)</f>
        <v>2100000</v>
      </c>
      <c r="AH37" s="73">
        <f>IF(E37=1,Hitung!E6-Hitung!B19,0)</f>
        <v>505</v>
      </c>
      <c r="AI37" s="14">
        <f t="shared" si="10"/>
        <v>4158.415842</v>
      </c>
      <c r="AK37" s="14">
        <v>32.0</v>
      </c>
      <c r="AL37" s="14">
        <f>AL36+SUMIFS(Setting!$E$30:$E$39,Setting!$A$30:$A$39,AL$4,Setting!$C$30:$C$39,"&lt;="&amp;($AK37-1),Setting!$D$30:$D$39,"&gt;="&amp;($AK37-1))</f>
        <v>32</v>
      </c>
      <c r="AM37" s="14">
        <f>AM36+SUMIFS(Setting!$E$30:$E$39,Setting!$A$30:$A$39,AM$4,Setting!$C$30:$C$39,"&lt;="&amp;($AK37-1),Setting!$D$30:$D$39,"&gt;="&amp;($AK37-1))</f>
        <v>32</v>
      </c>
    </row>
    <row r="38" ht="15.75" customHeight="1">
      <c r="A38" s="14">
        <v>3.0</v>
      </c>
      <c r="B38" s="14">
        <v>3.0</v>
      </c>
      <c r="C38" s="14" t="str">
        <f>Hitung!A19</f>
        <v>Crosley</v>
      </c>
      <c r="D38" s="14" t="str">
        <f>Hitung!B7</f>
        <v>S1</v>
      </c>
      <c r="E38" s="14">
        <f>IF(AND(C38&lt;&gt;"",D38&lt;&gt;"",Hitung!B19&gt;0,Hitung!E7&gt;Hitung!B19,G38&lt;&gt;B38,F38&gt;0),1,0)</f>
        <v>1</v>
      </c>
      <c r="F38" s="25">
        <f>Hitung!D19</f>
        <v>21</v>
      </c>
      <c r="G38" s="14">
        <f>Hitung!X19</f>
        <v>1</v>
      </c>
      <c r="H38" s="25">
        <f>Hitung!$M$5-IF($G38=1,$F38,0)+IF($B38=1,$F38,0)</f>
        <v>84</v>
      </c>
      <c r="I38" s="14">
        <f>Hitung!$M$6-IF($G38=2,$F38,0)+IF($B38=2,$F38,0)</f>
        <v>0</v>
      </c>
      <c r="J38" s="25">
        <f>Hitung!$M$7-IF($G38=3,$F38,0)+IF($B38=3,$F38,0)</f>
        <v>63</v>
      </c>
      <c r="K38" s="14">
        <f>Hitung!$M$8-IF($G38=4,$F38,0)+IF($B38=4,$F38,0)</f>
        <v>0</v>
      </c>
      <c r="L38" s="14">
        <f>Hitung!$M$9-IF($G38=5,$F38,0)+IF($B38=5,$F38,0)</f>
        <v>0</v>
      </c>
      <c r="M38" s="14">
        <f>Hitung!$M$10-IF($G38=6,$F38,0)+IF($B38=6,$F38,0)</f>
        <v>61</v>
      </c>
      <c r="N38" s="14">
        <f>Hitung!$M$11-IF($G38=7,$F38,0)+IF($B38=7,$F38,0)</f>
        <v>0</v>
      </c>
      <c r="O38" s="14">
        <f>Hitung!$M$12-IF($G38=8,$F38,0)+IF($B38=8,$F38,0)</f>
        <v>0</v>
      </c>
      <c r="P38" s="14">
        <f t="shared" si="1"/>
        <v>0</v>
      </c>
      <c r="Q38" s="14">
        <f t="shared" si="2"/>
        <v>0</v>
      </c>
      <c r="R38" s="14">
        <f t="shared" si="3"/>
        <v>61</v>
      </c>
      <c r="S38" s="14">
        <f t="shared" si="4"/>
        <v>61</v>
      </c>
      <c r="T38" s="14">
        <f t="shared" si="5"/>
        <v>61</v>
      </c>
      <c r="U38" s="14">
        <f t="shared" si="6"/>
        <v>0</v>
      </c>
      <c r="V38" s="14">
        <f t="shared" si="7"/>
        <v>0</v>
      </c>
      <c r="W38" s="14">
        <f t="shared" si="8"/>
        <v>0</v>
      </c>
      <c r="X38" s="14">
        <f t="array" ref="X38">IF(H38=0,0,Hitung!$D$5*IF(Hitung!$C$5="Conquest",INDEX($AL$5:$AL$705,P38+H38+1)-INDEX($AL$5:$AL$705,P38+1),INDEX($AM$5:$AM$705,P38+H38+1)-INDEX($AM$5:$AM$705,P38+1)))</f>
        <v>25200000</v>
      </c>
      <c r="Y38" s="14">
        <f t="array" ref="Y38">IF(I38=0,0,Hitung!$D$6*IF(Hitung!$C$6="Conquest",INDEX($AL$5:$AL$705,Q38+I38+1)-INDEX($AL$5:$AL$705,Q38+1),INDEX($AM$5:$AM$705,Q38+I38+1)-INDEX($AM$5:$AM$705,Q38+1)))</f>
        <v>0</v>
      </c>
      <c r="Z38" s="14">
        <f t="array" ref="Z38">IF(J38=0,0,Hitung!$D$7*IF(Hitung!$C$7="Conquest",INDEX($AL$5:$AL$705,R38+J38+1)-INDEX($AL$5:$AL$705,R38+1),INDEX($AM$5:$AM$705,R38+J38+1)-INDEX($AM$5:$AM$705,R38+1)))</f>
        <v>7920000</v>
      </c>
      <c r="AA38" s="14">
        <f t="array" ref="AA38">IF(K38=0,0,Hitung!$D$8*IF(Hitung!$C$8="Conquest",INDEX($AL$5:$AL$705,S38+K38+1)-INDEX($AL$5:$AL$705,S38+1),INDEX($AM$5:$AM$705,S38+K38+1)-INDEX($AM$5:$AM$705,S38+1)))</f>
        <v>0</v>
      </c>
      <c r="AB38" s="14">
        <f t="array" ref="AB38">IF(L38=0,0,Hitung!$D$9*IF(Hitung!$C$9="Conquest",INDEX($AL$5:$AL$705,T38+L38+1)-INDEX($AL$5:$AL$705,T38+1),INDEX($AM$5:$AM$705,T38+L38+1)-INDEX($AM$5:$AM$705,T38+1)))</f>
        <v>0</v>
      </c>
      <c r="AC38" s="14">
        <f t="array" ref="AC38">IF(M38=0,0,Hitung!$D$10*IF(Hitung!$C$10="Conquest",INDEX($AL$5:$AL$705,U38+M38+1)-INDEX($AL$5:$AL$705,U38+1),INDEX($AM$5:$AM$705,U38+M38+1)-INDEX($AM$5:$AM$705,U38+1)))</f>
        <v>28800000</v>
      </c>
      <c r="AD38" s="14">
        <f t="array" ref="AD38">IF(N38=0,0,Hitung!$D$11*IF(Hitung!$C$11="Conquest",INDEX($AL$5:$AL$705,V38+N38+1)-INDEX($AL$5:$AL$705,V38+1),INDEX($AM$5:$AM$705,V38+N38+1)-INDEX($AM$5:$AM$705,V38+1)))</f>
        <v>0</v>
      </c>
      <c r="AE38" s="14">
        <f t="array" ref="AE38">IF(O38=0,0,Hitung!$D$12*IF(Hitung!$C$12="Conquest",INDEX($AL$5:$AL$705,W38+O38+1)-INDEX($AL$5:$AL$705,W38+1),INDEX($AM$5:$AM$705,W38+O38+1)-INDEX($AM$5:$AM$705,W38+1)))</f>
        <v>0</v>
      </c>
      <c r="AF38" s="14">
        <f t="shared" si="9"/>
        <v>61920000</v>
      </c>
      <c r="AG38" s="14">
        <f>IF(E38=1,AF38-Hitung!$AO$13,0)</f>
        <v>-3780000</v>
      </c>
      <c r="AH38" s="73">
        <f>IF(E38=1,Hitung!E7-Hitung!B19,0)</f>
        <v>5</v>
      </c>
      <c r="AI38" s="14">
        <f t="shared" si="10"/>
        <v>0</v>
      </c>
      <c r="AK38" s="14">
        <v>33.0</v>
      </c>
      <c r="AL38" s="14">
        <f>AL37+SUMIFS(Setting!$E$30:$E$39,Setting!$A$30:$A$39,AL$4,Setting!$C$30:$C$39,"&lt;="&amp;($AK38-1),Setting!$D$30:$D$39,"&gt;="&amp;($AK38-1))</f>
        <v>33</v>
      </c>
      <c r="AM38" s="14">
        <f>AM37+SUMIFS(Setting!$E$30:$E$39,Setting!$A$30:$A$39,AM$4,Setting!$C$30:$C$39,"&lt;="&amp;($AK38-1),Setting!$D$30:$D$39,"&gt;="&amp;($AK38-1))</f>
        <v>33</v>
      </c>
    </row>
    <row r="39" ht="15.75" customHeight="1">
      <c r="A39" s="14">
        <v>3.0</v>
      </c>
      <c r="B39" s="14">
        <v>4.0</v>
      </c>
      <c r="C39" s="14" t="str">
        <f>Hitung!A19</f>
        <v>Crosley</v>
      </c>
      <c r="D39" s="14" t="str">
        <f>Hitung!B8</f>
        <v>S2</v>
      </c>
      <c r="E39" s="14">
        <f>IF(AND(C39&lt;&gt;"",D39&lt;&gt;"",Hitung!B19&gt;0,Hitung!E8&gt;Hitung!B19,G39&lt;&gt;B39,F39&gt;0),1,0)</f>
        <v>1</v>
      </c>
      <c r="F39" s="25">
        <f>Hitung!D19</f>
        <v>21</v>
      </c>
      <c r="G39" s="14">
        <f>Hitung!X19</f>
        <v>1</v>
      </c>
      <c r="H39" s="25">
        <f>Hitung!$M$5-IF($G39=1,$F39,0)+IF($B39=1,$F39,0)</f>
        <v>84</v>
      </c>
      <c r="I39" s="14">
        <f>Hitung!$M$6-IF($G39=2,$F39,0)+IF($B39=2,$F39,0)</f>
        <v>0</v>
      </c>
      <c r="J39" s="14">
        <f>Hitung!$M$7-IF($G39=3,$F39,0)+IF($B39=3,$F39,0)</f>
        <v>42</v>
      </c>
      <c r="K39" s="25">
        <f>Hitung!$M$8-IF($G39=4,$F39,0)+IF($B39=4,$F39,0)</f>
        <v>21</v>
      </c>
      <c r="L39" s="14">
        <f>Hitung!$M$9-IF($G39=5,$F39,0)+IF($B39=5,$F39,0)</f>
        <v>0</v>
      </c>
      <c r="M39" s="14">
        <f>Hitung!$M$10-IF($G39=6,$F39,0)+IF($B39=6,$F39,0)</f>
        <v>61</v>
      </c>
      <c r="N39" s="14">
        <f>Hitung!$M$11-IF($G39=7,$F39,0)+IF($B39=7,$F39,0)</f>
        <v>0</v>
      </c>
      <c r="O39" s="14">
        <f>Hitung!$M$12-IF($G39=8,$F39,0)+IF($B39=8,$F39,0)</f>
        <v>0</v>
      </c>
      <c r="P39" s="14">
        <f t="shared" si="1"/>
        <v>0</v>
      </c>
      <c r="Q39" s="14">
        <f t="shared" si="2"/>
        <v>0</v>
      </c>
      <c r="R39" s="14">
        <f t="shared" si="3"/>
        <v>82</v>
      </c>
      <c r="S39" s="14">
        <f t="shared" si="4"/>
        <v>61</v>
      </c>
      <c r="T39" s="14">
        <f t="shared" si="5"/>
        <v>61</v>
      </c>
      <c r="U39" s="14">
        <f t="shared" si="6"/>
        <v>0</v>
      </c>
      <c r="V39" s="14">
        <f t="shared" si="7"/>
        <v>0</v>
      </c>
      <c r="W39" s="14">
        <f t="shared" si="8"/>
        <v>0</v>
      </c>
      <c r="X39" s="14">
        <f t="array" ref="X39">IF(H39=0,0,Hitung!$D$5*IF(Hitung!$C$5="Conquest",INDEX($AL$5:$AL$705,P39+H39+1)-INDEX($AL$5:$AL$705,P39+1),INDEX($AM$5:$AM$705,P39+H39+1)-INDEX($AM$5:$AM$705,P39+1)))</f>
        <v>25200000</v>
      </c>
      <c r="Y39" s="14">
        <f t="array" ref="Y39">IF(I39=0,0,Hitung!$D$6*IF(Hitung!$C$6="Conquest",INDEX($AL$5:$AL$705,Q39+I39+1)-INDEX($AL$5:$AL$705,Q39+1),INDEX($AM$5:$AM$705,Q39+I39+1)-INDEX($AM$5:$AM$705,Q39+1)))</f>
        <v>0</v>
      </c>
      <c r="Z39" s="14">
        <f t="array" ref="Z39">IF(J39=0,0,Hitung!$D$7*IF(Hitung!$C$7="Conquest",INDEX($AL$5:$AL$705,R39+J39+1)-INDEX($AL$5:$AL$705,R39+1),INDEX($AM$5:$AM$705,R39+J39+1)-INDEX($AM$5:$AM$705,R39+1)))</f>
        <v>3600000</v>
      </c>
      <c r="AA39" s="14">
        <f t="array" ref="AA39">IF(K39=0,0,Hitung!$D$8*IF(Hitung!$C$8="Conquest",INDEX($AL$5:$AL$705,S39+K39+1)-INDEX($AL$5:$AL$705,S39+1),INDEX($AM$5:$AM$705,S39+K39+1)-INDEX($AM$5:$AM$705,S39+1)))</f>
        <v>5184000</v>
      </c>
      <c r="AB39" s="14">
        <f t="array" ref="AB39">IF(L39=0,0,Hitung!$D$9*IF(Hitung!$C$9="Conquest",INDEX($AL$5:$AL$705,T39+L39+1)-INDEX($AL$5:$AL$705,T39+1),INDEX($AM$5:$AM$705,T39+L39+1)-INDEX($AM$5:$AM$705,T39+1)))</f>
        <v>0</v>
      </c>
      <c r="AC39" s="14">
        <f t="array" ref="AC39">IF(M39=0,0,Hitung!$D$10*IF(Hitung!$C$10="Conquest",INDEX($AL$5:$AL$705,U39+M39+1)-INDEX($AL$5:$AL$705,U39+1),INDEX($AM$5:$AM$705,U39+M39+1)-INDEX($AM$5:$AM$705,U39+1)))</f>
        <v>28800000</v>
      </c>
      <c r="AD39" s="14">
        <f t="array" ref="AD39">IF(N39=0,0,Hitung!$D$11*IF(Hitung!$C$11="Conquest",INDEX($AL$5:$AL$705,V39+N39+1)-INDEX($AL$5:$AL$705,V39+1),INDEX($AM$5:$AM$705,V39+N39+1)-INDEX($AM$5:$AM$705,V39+1)))</f>
        <v>0</v>
      </c>
      <c r="AE39" s="14">
        <f t="array" ref="AE39">IF(O39=0,0,Hitung!$D$12*IF(Hitung!$C$12="Conquest",INDEX($AL$5:$AL$705,W39+O39+1)-INDEX($AL$5:$AL$705,W39+1),INDEX($AM$5:$AM$705,W39+O39+1)-INDEX($AM$5:$AM$705,W39+1)))</f>
        <v>0</v>
      </c>
      <c r="AF39" s="14">
        <f t="shared" si="9"/>
        <v>62784000</v>
      </c>
      <c r="AG39" s="14">
        <f>IF(E39=1,AF39-Hitung!$AO$13,0)</f>
        <v>-2916000</v>
      </c>
      <c r="AH39" s="73">
        <f>IF(E39=1,Hitung!E8-Hitung!B19,0)</f>
        <v>305</v>
      </c>
      <c r="AI39" s="14">
        <f t="shared" si="10"/>
        <v>0</v>
      </c>
      <c r="AK39" s="14">
        <v>34.0</v>
      </c>
      <c r="AL39" s="14">
        <f>AL38+SUMIFS(Setting!$E$30:$E$39,Setting!$A$30:$A$39,AL$4,Setting!$C$30:$C$39,"&lt;="&amp;($AK39-1),Setting!$D$30:$D$39,"&gt;="&amp;($AK39-1))</f>
        <v>34</v>
      </c>
      <c r="AM39" s="14">
        <f>AM38+SUMIFS(Setting!$E$30:$E$39,Setting!$A$30:$A$39,AM$4,Setting!$C$30:$C$39,"&lt;="&amp;($AK39-1),Setting!$D$30:$D$39,"&gt;="&amp;($AK39-1))</f>
        <v>34</v>
      </c>
    </row>
    <row r="40" ht="15.75" customHeight="1">
      <c r="A40" s="14">
        <v>3.0</v>
      </c>
      <c r="B40" s="14">
        <v>5.0</v>
      </c>
      <c r="C40" s="14" t="str">
        <f>Hitung!A19</f>
        <v>Crosley</v>
      </c>
      <c r="D40" s="14" t="str">
        <f>Hitung!B9</f>
        <v>S3</v>
      </c>
      <c r="E40" s="14">
        <f>IF(AND(C40&lt;&gt;"",D40&lt;&gt;"",Hitung!B19&gt;0,Hitung!E9&gt;Hitung!B19,G40&lt;&gt;B40,F40&gt;0),1,0)</f>
        <v>1</v>
      </c>
      <c r="F40" s="25">
        <f>Hitung!D19</f>
        <v>21</v>
      </c>
      <c r="G40" s="14">
        <f>Hitung!X19</f>
        <v>1</v>
      </c>
      <c r="H40" s="25">
        <f>Hitung!$M$5-IF($G40=1,$F40,0)+IF($B40=1,$F40,0)</f>
        <v>84</v>
      </c>
      <c r="I40" s="14">
        <f>Hitung!$M$6-IF($G40=2,$F40,0)+IF($B40=2,$F40,0)</f>
        <v>0</v>
      </c>
      <c r="J40" s="14">
        <f>Hitung!$M$7-IF($G40=3,$F40,0)+IF($B40=3,$F40,0)</f>
        <v>42</v>
      </c>
      <c r="K40" s="14">
        <f>Hitung!$M$8-IF($G40=4,$F40,0)+IF($B40=4,$F40,0)</f>
        <v>0</v>
      </c>
      <c r="L40" s="25">
        <f>Hitung!$M$9-IF($G40=5,$F40,0)+IF($B40=5,$F40,0)</f>
        <v>21</v>
      </c>
      <c r="M40" s="14">
        <f>Hitung!$M$10-IF($G40=6,$F40,0)+IF($B40=6,$F40,0)</f>
        <v>61</v>
      </c>
      <c r="N40" s="14">
        <f>Hitung!$M$11-IF($G40=7,$F40,0)+IF($B40=7,$F40,0)</f>
        <v>0</v>
      </c>
      <c r="O40" s="14">
        <f>Hitung!$M$12-IF($G40=8,$F40,0)+IF($B40=8,$F40,0)</f>
        <v>0</v>
      </c>
      <c r="P40" s="14">
        <f t="shared" si="1"/>
        <v>0</v>
      </c>
      <c r="Q40" s="14">
        <f t="shared" si="2"/>
        <v>0</v>
      </c>
      <c r="R40" s="14">
        <f t="shared" si="3"/>
        <v>82</v>
      </c>
      <c r="S40" s="14">
        <f t="shared" si="4"/>
        <v>82</v>
      </c>
      <c r="T40" s="14">
        <f t="shared" si="5"/>
        <v>61</v>
      </c>
      <c r="U40" s="14">
        <f t="shared" si="6"/>
        <v>0</v>
      </c>
      <c r="V40" s="14">
        <f t="shared" si="7"/>
        <v>0</v>
      </c>
      <c r="W40" s="14">
        <f t="shared" si="8"/>
        <v>0</v>
      </c>
      <c r="X40" s="14">
        <f t="array" ref="X40">IF(H40=0,0,Hitung!$D$5*IF(Hitung!$C$5="Conquest",INDEX($AL$5:$AL$705,P40+H40+1)-INDEX($AL$5:$AL$705,P40+1),INDEX($AM$5:$AM$705,P40+H40+1)-INDEX($AM$5:$AM$705,P40+1)))</f>
        <v>25200000</v>
      </c>
      <c r="Y40" s="14">
        <f t="array" ref="Y40">IF(I40=0,0,Hitung!$D$6*IF(Hitung!$C$6="Conquest",INDEX($AL$5:$AL$705,Q40+I40+1)-INDEX($AL$5:$AL$705,Q40+1),INDEX($AM$5:$AM$705,Q40+I40+1)-INDEX($AM$5:$AM$705,Q40+1)))</f>
        <v>0</v>
      </c>
      <c r="Z40" s="14">
        <f t="array" ref="Z40">IF(J40=0,0,Hitung!$D$7*IF(Hitung!$C$7="Conquest",INDEX($AL$5:$AL$705,R40+J40+1)-INDEX($AL$5:$AL$705,R40+1),INDEX($AM$5:$AM$705,R40+J40+1)-INDEX($AM$5:$AM$705,R40+1)))</f>
        <v>3600000</v>
      </c>
      <c r="AA40" s="14">
        <f t="array" ref="AA40">IF(K40=0,0,Hitung!$D$8*IF(Hitung!$C$8="Conquest",INDEX($AL$5:$AL$705,S40+K40+1)-INDEX($AL$5:$AL$705,S40+1),INDEX($AM$5:$AM$705,S40+K40+1)-INDEX($AM$5:$AM$705,S40+1)))</f>
        <v>0</v>
      </c>
      <c r="AB40" s="14">
        <f t="array" ref="AB40">IF(L40=0,0,Hitung!$D$9*IF(Hitung!$C$9="Conquest",INDEX($AL$5:$AL$705,T40+L40+1)-INDEX($AL$5:$AL$705,T40+1),INDEX($AM$5:$AM$705,T40+L40+1)-INDEX($AM$5:$AM$705,T40+1)))</f>
        <v>6048000</v>
      </c>
      <c r="AC40" s="14">
        <f t="array" ref="AC40">IF(M40=0,0,Hitung!$D$10*IF(Hitung!$C$10="Conquest",INDEX($AL$5:$AL$705,U40+M40+1)-INDEX($AL$5:$AL$705,U40+1),INDEX($AM$5:$AM$705,U40+M40+1)-INDEX($AM$5:$AM$705,U40+1)))</f>
        <v>28800000</v>
      </c>
      <c r="AD40" s="14">
        <f t="array" ref="AD40">IF(N40=0,0,Hitung!$D$11*IF(Hitung!$C$11="Conquest",INDEX($AL$5:$AL$705,V40+N40+1)-INDEX($AL$5:$AL$705,V40+1),INDEX($AM$5:$AM$705,V40+N40+1)-INDEX($AM$5:$AM$705,V40+1)))</f>
        <v>0</v>
      </c>
      <c r="AE40" s="14">
        <f t="array" ref="AE40">IF(O40=0,0,Hitung!$D$12*IF(Hitung!$C$12="Conquest",INDEX($AL$5:$AL$705,W40+O40+1)-INDEX($AL$5:$AL$705,W40+1),INDEX($AM$5:$AM$705,W40+O40+1)-INDEX($AM$5:$AM$705,W40+1)))</f>
        <v>0</v>
      </c>
      <c r="AF40" s="14">
        <f t="shared" si="9"/>
        <v>63648000</v>
      </c>
      <c r="AG40" s="14">
        <f>IF(E40=1,AF40-Hitung!$AO$13,0)</f>
        <v>-2052000</v>
      </c>
      <c r="AH40" s="73">
        <f>IF(E40=1,Hitung!E9-Hitung!B19,0)</f>
        <v>605</v>
      </c>
      <c r="AI40" s="14">
        <f t="shared" si="10"/>
        <v>0</v>
      </c>
      <c r="AK40" s="14">
        <v>35.0</v>
      </c>
      <c r="AL40" s="14">
        <f>AL39+SUMIFS(Setting!$E$30:$E$39,Setting!$A$30:$A$39,AL$4,Setting!$C$30:$C$39,"&lt;="&amp;($AK40-1),Setting!$D$30:$D$39,"&gt;="&amp;($AK40-1))</f>
        <v>35</v>
      </c>
      <c r="AM40" s="14">
        <f>AM39+SUMIFS(Setting!$E$30:$E$39,Setting!$A$30:$A$39,AM$4,Setting!$C$30:$C$39,"&lt;="&amp;($AK40-1),Setting!$D$30:$D$39,"&gt;="&amp;($AK40-1))</f>
        <v>35</v>
      </c>
    </row>
    <row r="41" ht="15.75" customHeight="1">
      <c r="A41" s="14">
        <v>3.0</v>
      </c>
      <c r="B41" s="14">
        <v>6.0</v>
      </c>
      <c r="C41" s="14" t="str">
        <f>Hitung!A19</f>
        <v>Crosley</v>
      </c>
      <c r="D41" s="14" t="str">
        <f>Hitung!B10</f>
        <v>S4</v>
      </c>
      <c r="E41" s="14">
        <f>IF(AND(C41&lt;&gt;"",D41&lt;&gt;"",Hitung!B19&gt;0,Hitung!E10&gt;Hitung!B19,G41&lt;&gt;B41,F41&gt;0),1,0)</f>
        <v>1</v>
      </c>
      <c r="F41" s="25">
        <f>Hitung!D19</f>
        <v>21</v>
      </c>
      <c r="G41" s="14">
        <f>Hitung!X19</f>
        <v>1</v>
      </c>
      <c r="H41" s="25">
        <f>Hitung!$M$5-IF($G41=1,$F41,0)+IF($B41=1,$F41,0)</f>
        <v>84</v>
      </c>
      <c r="I41" s="14">
        <f>Hitung!$M$6-IF($G41=2,$F41,0)+IF($B41=2,$F41,0)</f>
        <v>0</v>
      </c>
      <c r="J41" s="14">
        <f>Hitung!$M$7-IF($G41=3,$F41,0)+IF($B41=3,$F41,0)</f>
        <v>42</v>
      </c>
      <c r="K41" s="14">
        <f>Hitung!$M$8-IF($G41=4,$F41,0)+IF($B41=4,$F41,0)</f>
        <v>0</v>
      </c>
      <c r="L41" s="14">
        <f>Hitung!$M$9-IF($G41=5,$F41,0)+IF($B41=5,$F41,0)</f>
        <v>0</v>
      </c>
      <c r="M41" s="25">
        <f>Hitung!$M$10-IF($G41=6,$F41,0)+IF($B41=6,$F41,0)</f>
        <v>82</v>
      </c>
      <c r="N41" s="14">
        <f>Hitung!$M$11-IF($G41=7,$F41,0)+IF($B41=7,$F41,0)</f>
        <v>0</v>
      </c>
      <c r="O41" s="14">
        <f>Hitung!$M$12-IF($G41=8,$F41,0)+IF($B41=8,$F41,0)</f>
        <v>0</v>
      </c>
      <c r="P41" s="14">
        <f t="shared" si="1"/>
        <v>0</v>
      </c>
      <c r="Q41" s="14">
        <f t="shared" si="2"/>
        <v>0</v>
      </c>
      <c r="R41" s="14">
        <f t="shared" si="3"/>
        <v>82</v>
      </c>
      <c r="S41" s="14">
        <f t="shared" si="4"/>
        <v>82</v>
      </c>
      <c r="T41" s="14">
        <f t="shared" si="5"/>
        <v>82</v>
      </c>
      <c r="U41" s="14">
        <f t="shared" si="6"/>
        <v>0</v>
      </c>
      <c r="V41" s="14">
        <f t="shared" si="7"/>
        <v>0</v>
      </c>
      <c r="W41" s="14">
        <f t="shared" si="8"/>
        <v>0</v>
      </c>
      <c r="X41" s="14">
        <f t="array" ref="X41">IF(H41=0,0,Hitung!$D$5*IF(Hitung!$C$5="Conquest",INDEX($AL$5:$AL$705,P41+H41+1)-INDEX($AL$5:$AL$705,P41+1),INDEX($AM$5:$AM$705,P41+H41+1)-INDEX($AM$5:$AM$705,P41+1)))</f>
        <v>25200000</v>
      </c>
      <c r="Y41" s="14">
        <f t="array" ref="Y41">IF(I41=0,0,Hitung!$D$6*IF(Hitung!$C$6="Conquest",INDEX($AL$5:$AL$705,Q41+I41+1)-INDEX($AL$5:$AL$705,Q41+1),INDEX($AM$5:$AM$705,Q41+I41+1)-INDEX($AM$5:$AM$705,Q41+1)))</f>
        <v>0</v>
      </c>
      <c r="Z41" s="14">
        <f t="array" ref="Z41">IF(J41=0,0,Hitung!$D$7*IF(Hitung!$C$7="Conquest",INDEX($AL$5:$AL$705,R41+J41+1)-INDEX($AL$5:$AL$705,R41+1),INDEX($AM$5:$AM$705,R41+J41+1)-INDEX($AM$5:$AM$705,R41+1)))</f>
        <v>3600000</v>
      </c>
      <c r="AA41" s="14">
        <f t="array" ref="AA41">IF(K41=0,0,Hitung!$D$8*IF(Hitung!$C$8="Conquest",INDEX($AL$5:$AL$705,S41+K41+1)-INDEX($AL$5:$AL$705,S41+1),INDEX($AM$5:$AM$705,S41+K41+1)-INDEX($AM$5:$AM$705,S41+1)))</f>
        <v>0</v>
      </c>
      <c r="AB41" s="14">
        <f t="array" ref="AB41">IF(L41=0,0,Hitung!$D$9*IF(Hitung!$C$9="Conquest",INDEX($AL$5:$AL$705,T41+L41+1)-INDEX($AL$5:$AL$705,T41+1),INDEX($AM$5:$AM$705,T41+L41+1)-INDEX($AM$5:$AM$705,T41+1)))</f>
        <v>0</v>
      </c>
      <c r="AC41" s="14">
        <f t="array" ref="AC41">IF(M41=0,0,Hitung!$D$10*IF(Hitung!$C$10="Conquest",INDEX($AL$5:$AL$705,U41+M41+1)-INDEX($AL$5:$AL$705,U41+1),INDEX($AM$5:$AM$705,U41+M41+1)-INDEX($AM$5:$AM$705,U41+1)))</f>
        <v>35712000</v>
      </c>
      <c r="AD41" s="14">
        <f t="array" ref="AD41">IF(N41=0,0,Hitung!$D$11*IF(Hitung!$C$11="Conquest",INDEX($AL$5:$AL$705,V41+N41+1)-INDEX($AL$5:$AL$705,V41+1),INDEX($AM$5:$AM$705,V41+N41+1)-INDEX($AM$5:$AM$705,V41+1)))</f>
        <v>0</v>
      </c>
      <c r="AE41" s="14">
        <f t="array" ref="AE41">IF(O41=0,0,Hitung!$D$12*IF(Hitung!$C$12="Conquest",INDEX($AL$5:$AL$705,W41+O41+1)-INDEX($AL$5:$AL$705,W41+1),INDEX($AM$5:$AM$705,W41+O41+1)-INDEX($AM$5:$AM$705,W41+1)))</f>
        <v>0</v>
      </c>
      <c r="AF41" s="14">
        <f t="shared" si="9"/>
        <v>64512000</v>
      </c>
      <c r="AG41" s="14">
        <f>IF(E41=1,AF41-Hitung!$AO$13,0)</f>
        <v>-1188000</v>
      </c>
      <c r="AH41" s="73">
        <f>IF(E41=1,Hitung!E10-Hitung!B19,0)</f>
        <v>905</v>
      </c>
      <c r="AI41" s="14">
        <f t="shared" si="10"/>
        <v>0</v>
      </c>
      <c r="AK41" s="14">
        <v>36.0</v>
      </c>
      <c r="AL41" s="14">
        <f>AL40+SUMIFS(Setting!$E$30:$E$39,Setting!$A$30:$A$39,AL$4,Setting!$C$30:$C$39,"&lt;="&amp;($AK41-1),Setting!$D$30:$D$39,"&gt;="&amp;($AK41-1))</f>
        <v>36</v>
      </c>
      <c r="AM41" s="14">
        <f>AM40+SUMIFS(Setting!$E$30:$E$39,Setting!$A$30:$A$39,AM$4,Setting!$C$30:$C$39,"&lt;="&amp;($AK41-1),Setting!$D$30:$D$39,"&gt;="&amp;($AK41-1))</f>
        <v>36</v>
      </c>
    </row>
    <row r="42" ht="15.75" customHeight="1">
      <c r="A42" s="14">
        <v>3.0</v>
      </c>
      <c r="B42" s="14">
        <v>7.0</v>
      </c>
      <c r="C42" s="14" t="str">
        <f>Hitung!A19</f>
        <v>Crosley</v>
      </c>
      <c r="D42" s="14" t="str">
        <f>Hitung!B11</f>
        <v/>
      </c>
      <c r="E42" s="14">
        <f>IF(AND(C42&lt;&gt;"",D42&lt;&gt;"",Hitung!B19&gt;0,Hitung!E11&gt;Hitung!B19,G42&lt;&gt;B42,F42&gt;0),1,0)</f>
        <v>0</v>
      </c>
      <c r="F42" s="25">
        <f>Hitung!D19</f>
        <v>21</v>
      </c>
      <c r="G42" s="14">
        <f>Hitung!X19</f>
        <v>1</v>
      </c>
      <c r="H42" s="25">
        <f>Hitung!$M$5-IF($G42=1,$F42,0)+IF($B42=1,$F42,0)</f>
        <v>84</v>
      </c>
      <c r="I42" s="14">
        <f>Hitung!$M$6-IF($G42=2,$F42,0)+IF($B42=2,$F42,0)</f>
        <v>0</v>
      </c>
      <c r="J42" s="14">
        <f>Hitung!$M$7-IF($G42=3,$F42,0)+IF($B42=3,$F42,0)</f>
        <v>42</v>
      </c>
      <c r="K42" s="14">
        <f>Hitung!$M$8-IF($G42=4,$F42,0)+IF($B42=4,$F42,0)</f>
        <v>0</v>
      </c>
      <c r="L42" s="14">
        <f>Hitung!$M$9-IF($G42=5,$F42,0)+IF($B42=5,$F42,0)</f>
        <v>0</v>
      </c>
      <c r="M42" s="14">
        <f>Hitung!$M$10-IF($G42=6,$F42,0)+IF($B42=6,$F42,0)</f>
        <v>61</v>
      </c>
      <c r="N42" s="25">
        <f>Hitung!$M$11-IF($G42=7,$F42,0)+IF($B42=7,$F42,0)</f>
        <v>21</v>
      </c>
      <c r="O42" s="14">
        <f>Hitung!$M$12-IF($G42=8,$F42,0)+IF($B42=8,$F42,0)</f>
        <v>0</v>
      </c>
      <c r="P42" s="14">
        <f t="shared" si="1"/>
        <v>0</v>
      </c>
      <c r="Q42" s="14">
        <f t="shared" si="2"/>
        <v>0</v>
      </c>
      <c r="R42" s="14">
        <f t="shared" si="3"/>
        <v>61</v>
      </c>
      <c r="S42" s="14">
        <f t="shared" si="4"/>
        <v>61</v>
      </c>
      <c r="T42" s="14">
        <f t="shared" si="5"/>
        <v>61</v>
      </c>
      <c r="U42" s="14">
        <f t="shared" si="6"/>
        <v>0</v>
      </c>
      <c r="V42" s="14">
        <f t="shared" si="7"/>
        <v>0</v>
      </c>
      <c r="W42" s="14">
        <f t="shared" si="8"/>
        <v>0</v>
      </c>
      <c r="X42" s="14">
        <f t="array" ref="X42">IF(H42=0,0,Hitung!$D$5*IF(Hitung!$C$5="Conquest",INDEX($AL$5:$AL$705,P42+H42+1)-INDEX($AL$5:$AL$705,P42+1),INDEX($AM$5:$AM$705,P42+H42+1)-INDEX($AM$5:$AM$705,P42+1)))</f>
        <v>25200000</v>
      </c>
      <c r="Y42" s="14">
        <f t="array" ref="Y42">IF(I42=0,0,Hitung!$D$6*IF(Hitung!$C$6="Conquest",INDEX($AL$5:$AL$705,Q42+I42+1)-INDEX($AL$5:$AL$705,Q42+1),INDEX($AM$5:$AM$705,Q42+I42+1)-INDEX($AM$5:$AM$705,Q42+1)))</f>
        <v>0</v>
      </c>
      <c r="Z42" s="14">
        <f t="array" ref="Z42">IF(J42=0,0,Hitung!$D$7*IF(Hitung!$C$7="Conquest",INDEX($AL$5:$AL$705,R42+J42+1)-INDEX($AL$5:$AL$705,R42+1),INDEX($AM$5:$AM$705,R42+J42+1)-INDEX($AM$5:$AM$705,R42+1)))</f>
        <v>6660000</v>
      </c>
      <c r="AA42" s="14">
        <f t="array" ref="AA42">IF(K42=0,0,Hitung!$D$8*IF(Hitung!$C$8="Conquest",INDEX($AL$5:$AL$705,S42+K42+1)-INDEX($AL$5:$AL$705,S42+1),INDEX($AM$5:$AM$705,S42+K42+1)-INDEX($AM$5:$AM$705,S42+1)))</f>
        <v>0</v>
      </c>
      <c r="AB42" s="14">
        <f t="array" ref="AB42">IF(L42=0,0,Hitung!$D$9*IF(Hitung!$C$9="Conquest",INDEX($AL$5:$AL$705,T42+L42+1)-INDEX($AL$5:$AL$705,T42+1),INDEX($AM$5:$AM$705,T42+L42+1)-INDEX($AM$5:$AM$705,T42+1)))</f>
        <v>0</v>
      </c>
      <c r="AC42" s="14">
        <f t="array" ref="AC42">IF(M42=0,0,Hitung!$D$10*IF(Hitung!$C$10="Conquest",INDEX($AL$5:$AL$705,U42+M42+1)-INDEX($AL$5:$AL$705,U42+1),INDEX($AM$5:$AM$705,U42+M42+1)-INDEX($AM$5:$AM$705,U42+1)))</f>
        <v>28800000</v>
      </c>
      <c r="AD42" s="14">
        <f t="array" ref="AD42">IF(N42=0,0,Hitung!$D$11*IF(Hitung!$C$11="Conquest",INDEX($AL$5:$AL$705,V42+N42+1)-INDEX($AL$5:$AL$705,V42+1),INDEX($AM$5:$AM$705,V42+N42+1)-INDEX($AM$5:$AM$705,V42+1)))</f>
        <v>0</v>
      </c>
      <c r="AE42" s="14">
        <f t="array" ref="AE42">IF(O42=0,0,Hitung!$D$12*IF(Hitung!$C$12="Conquest",INDEX($AL$5:$AL$705,W42+O42+1)-INDEX($AL$5:$AL$705,W42+1),INDEX($AM$5:$AM$705,W42+O42+1)-INDEX($AM$5:$AM$705,W42+1)))</f>
        <v>0</v>
      </c>
      <c r="AF42" s="14">
        <f t="shared" si="9"/>
        <v>60660000</v>
      </c>
      <c r="AG42" s="14">
        <f>IF(E42=1,AF42-Hitung!$AO$13,0)</f>
        <v>0</v>
      </c>
      <c r="AH42" s="14">
        <f>IF(E42=1,Hitung!E11-Hitung!B19,0)</f>
        <v>0</v>
      </c>
      <c r="AI42" s="14">
        <f t="shared" si="10"/>
        <v>0</v>
      </c>
      <c r="AK42" s="14">
        <v>37.0</v>
      </c>
      <c r="AL42" s="14">
        <f>AL41+SUMIFS(Setting!$E$30:$E$39,Setting!$A$30:$A$39,AL$4,Setting!$C$30:$C$39,"&lt;="&amp;($AK42-1),Setting!$D$30:$D$39,"&gt;="&amp;($AK42-1))</f>
        <v>37</v>
      </c>
      <c r="AM42" s="14">
        <f>AM41+SUMIFS(Setting!$E$30:$E$39,Setting!$A$30:$A$39,AM$4,Setting!$C$30:$C$39,"&lt;="&amp;($AK42-1),Setting!$D$30:$D$39,"&gt;="&amp;($AK42-1))</f>
        <v>37</v>
      </c>
    </row>
    <row r="43" ht="15.75" customHeight="1">
      <c r="A43" s="14">
        <v>3.0</v>
      </c>
      <c r="B43" s="14">
        <v>8.0</v>
      </c>
      <c r="C43" s="14" t="str">
        <f>Hitung!A19</f>
        <v>Crosley</v>
      </c>
      <c r="D43" s="14" t="str">
        <f>Hitung!B12</f>
        <v/>
      </c>
      <c r="E43" s="14">
        <f>IF(AND(C43&lt;&gt;"",D43&lt;&gt;"",Hitung!B19&gt;0,Hitung!E12&gt;Hitung!B19,G43&lt;&gt;B43,F43&gt;0),1,0)</f>
        <v>0</v>
      </c>
      <c r="F43" s="25">
        <f>Hitung!D19</f>
        <v>21</v>
      </c>
      <c r="G43" s="14">
        <f>Hitung!X19</f>
        <v>1</v>
      </c>
      <c r="H43" s="25">
        <f>Hitung!$M$5-IF($G43=1,$F43,0)+IF($B43=1,$F43,0)</f>
        <v>84</v>
      </c>
      <c r="I43" s="14">
        <f>Hitung!$M$6-IF($G43=2,$F43,0)+IF($B43=2,$F43,0)</f>
        <v>0</v>
      </c>
      <c r="J43" s="14">
        <f>Hitung!$M$7-IF($G43=3,$F43,0)+IF($B43=3,$F43,0)</f>
        <v>42</v>
      </c>
      <c r="K43" s="14">
        <f>Hitung!$M$8-IF($G43=4,$F43,0)+IF($B43=4,$F43,0)</f>
        <v>0</v>
      </c>
      <c r="L43" s="14">
        <f>Hitung!$M$9-IF($G43=5,$F43,0)+IF($B43=5,$F43,0)</f>
        <v>0</v>
      </c>
      <c r="M43" s="14">
        <f>Hitung!$M$10-IF($G43=6,$F43,0)+IF($B43=6,$F43,0)</f>
        <v>61</v>
      </c>
      <c r="N43" s="14">
        <f>Hitung!$M$11-IF($G43=7,$F43,0)+IF($B43=7,$F43,0)</f>
        <v>0</v>
      </c>
      <c r="O43" s="25">
        <f>Hitung!$M$12-IF($G43=8,$F43,0)+IF($B43=8,$F43,0)</f>
        <v>21</v>
      </c>
      <c r="P43" s="14">
        <f t="shared" si="1"/>
        <v>0</v>
      </c>
      <c r="Q43" s="14">
        <f t="shared" si="2"/>
        <v>0</v>
      </c>
      <c r="R43" s="14">
        <f t="shared" si="3"/>
        <v>61</v>
      </c>
      <c r="S43" s="14">
        <f t="shared" si="4"/>
        <v>61</v>
      </c>
      <c r="T43" s="14">
        <f t="shared" si="5"/>
        <v>61</v>
      </c>
      <c r="U43" s="14">
        <f t="shared" si="6"/>
        <v>0</v>
      </c>
      <c r="V43" s="14">
        <f t="shared" si="7"/>
        <v>0</v>
      </c>
      <c r="W43" s="14">
        <f t="shared" si="8"/>
        <v>0</v>
      </c>
      <c r="X43" s="14">
        <f t="array" ref="X43">IF(H43=0,0,Hitung!$D$5*IF(Hitung!$C$5="Conquest",INDEX($AL$5:$AL$705,P43+H43+1)-INDEX($AL$5:$AL$705,P43+1),INDEX($AM$5:$AM$705,P43+H43+1)-INDEX($AM$5:$AM$705,P43+1)))</f>
        <v>25200000</v>
      </c>
      <c r="Y43" s="14">
        <f t="array" ref="Y43">IF(I43=0,0,Hitung!$D$6*IF(Hitung!$C$6="Conquest",INDEX($AL$5:$AL$705,Q43+I43+1)-INDEX($AL$5:$AL$705,Q43+1),INDEX($AM$5:$AM$705,Q43+I43+1)-INDEX($AM$5:$AM$705,Q43+1)))</f>
        <v>0</v>
      </c>
      <c r="Z43" s="14">
        <f t="array" ref="Z43">IF(J43=0,0,Hitung!$D$7*IF(Hitung!$C$7="Conquest",INDEX($AL$5:$AL$705,R43+J43+1)-INDEX($AL$5:$AL$705,R43+1),INDEX($AM$5:$AM$705,R43+J43+1)-INDEX($AM$5:$AM$705,R43+1)))</f>
        <v>6660000</v>
      </c>
      <c r="AA43" s="14">
        <f t="array" ref="AA43">IF(K43=0,0,Hitung!$D$8*IF(Hitung!$C$8="Conquest",INDEX($AL$5:$AL$705,S43+K43+1)-INDEX($AL$5:$AL$705,S43+1),INDEX($AM$5:$AM$705,S43+K43+1)-INDEX($AM$5:$AM$705,S43+1)))</f>
        <v>0</v>
      </c>
      <c r="AB43" s="14">
        <f t="array" ref="AB43">IF(L43=0,0,Hitung!$D$9*IF(Hitung!$C$9="Conquest",INDEX($AL$5:$AL$705,T43+L43+1)-INDEX($AL$5:$AL$705,T43+1),INDEX($AM$5:$AM$705,T43+L43+1)-INDEX($AM$5:$AM$705,T43+1)))</f>
        <v>0</v>
      </c>
      <c r="AC43" s="14">
        <f t="array" ref="AC43">IF(M43=0,0,Hitung!$D$10*IF(Hitung!$C$10="Conquest",INDEX($AL$5:$AL$705,U43+M43+1)-INDEX($AL$5:$AL$705,U43+1),INDEX($AM$5:$AM$705,U43+M43+1)-INDEX($AM$5:$AM$705,U43+1)))</f>
        <v>28800000</v>
      </c>
      <c r="AD43" s="14">
        <f t="array" ref="AD43">IF(N43=0,0,Hitung!$D$11*IF(Hitung!$C$11="Conquest",INDEX($AL$5:$AL$705,V43+N43+1)-INDEX($AL$5:$AL$705,V43+1),INDEX($AM$5:$AM$705,V43+N43+1)-INDEX($AM$5:$AM$705,V43+1)))</f>
        <v>0</v>
      </c>
      <c r="AE43" s="14">
        <f t="array" ref="AE43">IF(O43=0,0,Hitung!$D$12*IF(Hitung!$C$12="Conquest",INDEX($AL$5:$AL$705,W43+O43+1)-INDEX($AL$5:$AL$705,W43+1),INDEX($AM$5:$AM$705,W43+O43+1)-INDEX($AM$5:$AM$705,W43+1)))</f>
        <v>0</v>
      </c>
      <c r="AF43" s="14">
        <f t="shared" si="9"/>
        <v>60660000</v>
      </c>
      <c r="AG43" s="14">
        <f>IF(E43=1,AF43-Hitung!$AO$13,0)</f>
        <v>0</v>
      </c>
      <c r="AH43" s="14">
        <f>IF(E43=1,Hitung!E12-Hitung!B19,0)</f>
        <v>0</v>
      </c>
      <c r="AI43" s="14">
        <f t="shared" si="10"/>
        <v>0</v>
      </c>
      <c r="AK43" s="14">
        <v>38.0</v>
      </c>
      <c r="AL43" s="14">
        <f>AL42+SUMIFS(Setting!$E$30:$E$39,Setting!$A$30:$A$39,AL$4,Setting!$C$30:$C$39,"&lt;="&amp;($AK43-1),Setting!$D$30:$D$39,"&gt;="&amp;($AK43-1))</f>
        <v>38</v>
      </c>
      <c r="AM43" s="14">
        <f>AM42+SUMIFS(Setting!$E$30:$E$39,Setting!$A$30:$A$39,AM$4,Setting!$C$30:$C$39,"&lt;="&amp;($AK43-1),Setting!$D$30:$D$39,"&gt;="&amp;($AK43-1))</f>
        <v>38</v>
      </c>
    </row>
    <row r="44" ht="15.75" customHeight="1">
      <c r="A44" s="14">
        <v>4.0</v>
      </c>
      <c r="B44" s="14">
        <v>1.0</v>
      </c>
      <c r="C44" s="14" t="str">
        <f>Hitung!A20</f>
        <v>Nathanael</v>
      </c>
      <c r="D44" s="14" t="str">
        <f>Hitung!B5</f>
        <v>T2</v>
      </c>
      <c r="E44" s="14">
        <f>IF(AND(C44&lt;&gt;"",D44&lt;&gt;"",Hitung!B20&gt;0,Hitung!E5&gt;Hitung!B20,G44&lt;&gt;B44,F44&gt;0),1,0)</f>
        <v>0</v>
      </c>
      <c r="F44" s="25">
        <f>Hitung!D20</f>
        <v>21</v>
      </c>
      <c r="G44" s="14">
        <f>Hitung!X20</f>
        <v>1</v>
      </c>
      <c r="H44" s="25">
        <f>Hitung!$M$5-IF($G44=1,$F44,0)+IF($B44=1,$F44,0)</f>
        <v>105</v>
      </c>
      <c r="I44" s="14">
        <f>Hitung!$M$6-IF($G44=2,$F44,0)+IF($B44=2,$F44,0)</f>
        <v>0</v>
      </c>
      <c r="J44" s="14">
        <f>Hitung!$M$7-IF($G44=3,$F44,0)+IF($B44=3,$F44,0)</f>
        <v>42</v>
      </c>
      <c r="K44" s="14">
        <f>Hitung!$M$8-IF($G44=4,$F44,0)+IF($B44=4,$F44,0)</f>
        <v>0</v>
      </c>
      <c r="L44" s="14">
        <f>Hitung!$M$9-IF($G44=5,$F44,0)+IF($B44=5,$F44,0)</f>
        <v>0</v>
      </c>
      <c r="M44" s="14">
        <f>Hitung!$M$10-IF($G44=6,$F44,0)+IF($B44=6,$F44,0)</f>
        <v>61</v>
      </c>
      <c r="N44" s="14">
        <f>Hitung!$M$11-IF($G44=7,$F44,0)+IF($B44=7,$F44,0)</f>
        <v>0</v>
      </c>
      <c r="O44" s="14">
        <f>Hitung!$M$12-IF($G44=8,$F44,0)+IF($B44=8,$F44,0)</f>
        <v>0</v>
      </c>
      <c r="P44" s="14">
        <f t="shared" si="1"/>
        <v>0</v>
      </c>
      <c r="Q44" s="14">
        <f t="shared" si="2"/>
        <v>0</v>
      </c>
      <c r="R44" s="14">
        <f t="shared" si="3"/>
        <v>61</v>
      </c>
      <c r="S44" s="14">
        <f t="shared" si="4"/>
        <v>61</v>
      </c>
      <c r="T44" s="14">
        <f t="shared" si="5"/>
        <v>61</v>
      </c>
      <c r="U44" s="14">
        <f t="shared" si="6"/>
        <v>0</v>
      </c>
      <c r="V44" s="14">
        <f t="shared" si="7"/>
        <v>0</v>
      </c>
      <c r="W44" s="14">
        <f t="shared" si="8"/>
        <v>0</v>
      </c>
      <c r="X44" s="14">
        <f t="array" ref="X44">IF(H44=0,0,Hitung!$D$5*IF(Hitung!$C$5="Conquest",INDEX($AL$5:$AL$705,P44+H44+1)-INDEX($AL$5:$AL$705,P44+1),INDEX($AM$5:$AM$705,P44+H44+1)-INDEX($AM$5:$AM$705,P44+1)))</f>
        <v>30240000</v>
      </c>
      <c r="Y44" s="14">
        <f t="array" ref="Y44">IF(I44=0,0,Hitung!$D$6*IF(Hitung!$C$6="Conquest",INDEX($AL$5:$AL$705,Q44+I44+1)-INDEX($AL$5:$AL$705,Q44+1),INDEX($AM$5:$AM$705,Q44+I44+1)-INDEX($AM$5:$AM$705,Q44+1)))</f>
        <v>0</v>
      </c>
      <c r="Z44" s="14">
        <f t="array" ref="Z44">IF(J44=0,0,Hitung!$D$7*IF(Hitung!$C$7="Conquest",INDEX($AL$5:$AL$705,R44+J44+1)-INDEX($AL$5:$AL$705,R44+1),INDEX($AM$5:$AM$705,R44+J44+1)-INDEX($AM$5:$AM$705,R44+1)))</f>
        <v>6660000</v>
      </c>
      <c r="AA44" s="14">
        <f t="array" ref="AA44">IF(K44=0,0,Hitung!$D$8*IF(Hitung!$C$8="Conquest",INDEX($AL$5:$AL$705,S44+K44+1)-INDEX($AL$5:$AL$705,S44+1),INDEX($AM$5:$AM$705,S44+K44+1)-INDEX($AM$5:$AM$705,S44+1)))</f>
        <v>0</v>
      </c>
      <c r="AB44" s="14">
        <f t="array" ref="AB44">IF(L44=0,0,Hitung!$D$9*IF(Hitung!$C$9="Conquest",INDEX($AL$5:$AL$705,T44+L44+1)-INDEX($AL$5:$AL$705,T44+1),INDEX($AM$5:$AM$705,T44+L44+1)-INDEX($AM$5:$AM$705,T44+1)))</f>
        <v>0</v>
      </c>
      <c r="AC44" s="14">
        <f t="array" ref="AC44">IF(M44=0,0,Hitung!$D$10*IF(Hitung!$C$10="Conquest",INDEX($AL$5:$AL$705,U44+M44+1)-INDEX($AL$5:$AL$705,U44+1),INDEX($AM$5:$AM$705,U44+M44+1)-INDEX($AM$5:$AM$705,U44+1)))</f>
        <v>28800000</v>
      </c>
      <c r="AD44" s="14">
        <f t="array" ref="AD44">IF(N44=0,0,Hitung!$D$11*IF(Hitung!$C$11="Conquest",INDEX($AL$5:$AL$705,V44+N44+1)-INDEX($AL$5:$AL$705,V44+1),INDEX($AM$5:$AM$705,V44+N44+1)-INDEX($AM$5:$AM$705,V44+1)))</f>
        <v>0</v>
      </c>
      <c r="AE44" s="14">
        <f t="array" ref="AE44">IF(O44=0,0,Hitung!$D$12*IF(Hitung!$C$12="Conquest",INDEX($AL$5:$AL$705,W44+O44+1)-INDEX($AL$5:$AL$705,W44+1),INDEX($AM$5:$AM$705,W44+O44+1)-INDEX($AM$5:$AM$705,W44+1)))</f>
        <v>0</v>
      </c>
      <c r="AF44" s="14">
        <f t="shared" si="9"/>
        <v>65700000</v>
      </c>
      <c r="AG44" s="14">
        <f>IF(E44=1,AF44-Hitung!$AO$13,0)</f>
        <v>0</v>
      </c>
      <c r="AH44" s="14">
        <f>IF(E44=1,Hitung!E5-Hitung!B20,0)</f>
        <v>0</v>
      </c>
      <c r="AI44" s="14">
        <f t="shared" si="10"/>
        <v>0</v>
      </c>
      <c r="AK44" s="14">
        <v>39.0</v>
      </c>
      <c r="AL44" s="14">
        <f>AL43+SUMIFS(Setting!$E$30:$E$39,Setting!$A$30:$A$39,AL$4,Setting!$C$30:$C$39,"&lt;="&amp;($AK44-1),Setting!$D$30:$D$39,"&gt;="&amp;($AK44-1))</f>
        <v>39</v>
      </c>
      <c r="AM44" s="14">
        <f>AM43+SUMIFS(Setting!$E$30:$E$39,Setting!$A$30:$A$39,AM$4,Setting!$C$30:$C$39,"&lt;="&amp;($AK44-1),Setting!$D$30:$D$39,"&gt;="&amp;($AK44-1))</f>
        <v>39</v>
      </c>
    </row>
    <row r="45" ht="15.75" customHeight="1">
      <c r="A45" s="14">
        <v>4.0</v>
      </c>
      <c r="B45" s="14">
        <v>2.0</v>
      </c>
      <c r="C45" s="14" t="str">
        <f>Hitung!A20</f>
        <v>Nathanael</v>
      </c>
      <c r="D45" s="14" t="str">
        <f>Hitung!B6</f>
        <v>T3</v>
      </c>
      <c r="E45" s="14">
        <f>IF(AND(C45&lt;&gt;"",D45&lt;&gt;"",Hitung!B20&gt;0,Hitung!E6&gt;Hitung!B20,G45&lt;&gt;B45,F45&gt;0),1,0)</f>
        <v>1</v>
      </c>
      <c r="F45" s="25">
        <f>Hitung!D20</f>
        <v>21</v>
      </c>
      <c r="G45" s="14">
        <f>Hitung!X20</f>
        <v>1</v>
      </c>
      <c r="H45" s="25">
        <f>Hitung!$M$5-IF($G45=1,$F45,0)+IF($B45=1,$F45,0)</f>
        <v>84</v>
      </c>
      <c r="I45" s="25">
        <f>Hitung!$M$6-IF($G45=2,$F45,0)+IF($B45=2,$F45,0)</f>
        <v>21</v>
      </c>
      <c r="J45" s="14">
        <f>Hitung!$M$7-IF($G45=3,$F45,0)+IF($B45=3,$F45,0)</f>
        <v>42</v>
      </c>
      <c r="K45" s="14">
        <f>Hitung!$M$8-IF($G45=4,$F45,0)+IF($B45=4,$F45,0)</f>
        <v>0</v>
      </c>
      <c r="L45" s="14">
        <f>Hitung!$M$9-IF($G45=5,$F45,0)+IF($B45=5,$F45,0)</f>
        <v>0</v>
      </c>
      <c r="M45" s="14">
        <f>Hitung!$M$10-IF($G45=6,$F45,0)+IF($B45=6,$F45,0)</f>
        <v>61</v>
      </c>
      <c r="N45" s="14">
        <f>Hitung!$M$11-IF($G45=7,$F45,0)+IF($B45=7,$F45,0)</f>
        <v>0</v>
      </c>
      <c r="O45" s="14">
        <f>Hitung!$M$12-IF($G45=8,$F45,0)+IF($B45=8,$F45,0)</f>
        <v>0</v>
      </c>
      <c r="P45" s="14">
        <f t="shared" si="1"/>
        <v>21</v>
      </c>
      <c r="Q45" s="14">
        <f t="shared" si="2"/>
        <v>0</v>
      </c>
      <c r="R45" s="14">
        <f t="shared" si="3"/>
        <v>61</v>
      </c>
      <c r="S45" s="14">
        <f t="shared" si="4"/>
        <v>61</v>
      </c>
      <c r="T45" s="14">
        <f t="shared" si="5"/>
        <v>61</v>
      </c>
      <c r="U45" s="14">
        <f t="shared" si="6"/>
        <v>0</v>
      </c>
      <c r="V45" s="14">
        <f t="shared" si="7"/>
        <v>0</v>
      </c>
      <c r="W45" s="14">
        <f t="shared" si="8"/>
        <v>0</v>
      </c>
      <c r="X45" s="14">
        <f t="array" ref="X45">IF(H45=0,0,Hitung!$D$5*IF(Hitung!$C$5="Conquest",INDEX($AL$5:$AL$705,P45+H45+1)-INDEX($AL$5:$AL$705,P45+1),INDEX($AM$5:$AM$705,P45+H45+1)-INDEX($AM$5:$AM$705,P45+1)))</f>
        <v>23940000</v>
      </c>
      <c r="Y45" s="14">
        <f t="array" ref="Y45">IF(I45=0,0,Hitung!$D$6*IF(Hitung!$C$6="Conquest",INDEX($AL$5:$AL$705,Q45+I45+1)-INDEX($AL$5:$AL$705,Q45+1),INDEX($AM$5:$AM$705,Q45+I45+1)-INDEX($AM$5:$AM$705,Q45+1)))</f>
        <v>8400000</v>
      </c>
      <c r="Z45" s="14">
        <f t="array" ref="Z45">IF(J45=0,0,Hitung!$D$7*IF(Hitung!$C$7="Conquest",INDEX($AL$5:$AL$705,R45+J45+1)-INDEX($AL$5:$AL$705,R45+1),INDEX($AM$5:$AM$705,R45+J45+1)-INDEX($AM$5:$AM$705,R45+1)))</f>
        <v>6660000</v>
      </c>
      <c r="AA45" s="14">
        <f t="array" ref="AA45">IF(K45=0,0,Hitung!$D$8*IF(Hitung!$C$8="Conquest",INDEX($AL$5:$AL$705,S45+K45+1)-INDEX($AL$5:$AL$705,S45+1),INDEX($AM$5:$AM$705,S45+K45+1)-INDEX($AM$5:$AM$705,S45+1)))</f>
        <v>0</v>
      </c>
      <c r="AB45" s="14">
        <f t="array" ref="AB45">IF(L45=0,0,Hitung!$D$9*IF(Hitung!$C$9="Conquest",INDEX($AL$5:$AL$705,T45+L45+1)-INDEX($AL$5:$AL$705,T45+1),INDEX($AM$5:$AM$705,T45+L45+1)-INDEX($AM$5:$AM$705,T45+1)))</f>
        <v>0</v>
      </c>
      <c r="AC45" s="14">
        <f t="array" ref="AC45">IF(M45=0,0,Hitung!$D$10*IF(Hitung!$C$10="Conquest",INDEX($AL$5:$AL$705,U45+M45+1)-INDEX($AL$5:$AL$705,U45+1),INDEX($AM$5:$AM$705,U45+M45+1)-INDEX($AM$5:$AM$705,U45+1)))</f>
        <v>28800000</v>
      </c>
      <c r="AD45" s="14">
        <f t="array" ref="AD45">IF(N45=0,0,Hitung!$D$11*IF(Hitung!$C$11="Conquest",INDEX($AL$5:$AL$705,V45+N45+1)-INDEX($AL$5:$AL$705,V45+1),INDEX($AM$5:$AM$705,V45+N45+1)-INDEX($AM$5:$AM$705,V45+1)))</f>
        <v>0</v>
      </c>
      <c r="AE45" s="14">
        <f t="array" ref="AE45">IF(O45=0,0,Hitung!$D$12*IF(Hitung!$C$12="Conquest",INDEX($AL$5:$AL$705,W45+O45+1)-INDEX($AL$5:$AL$705,W45+1),INDEX($AM$5:$AM$705,W45+O45+1)-INDEX($AM$5:$AM$705,W45+1)))</f>
        <v>0</v>
      </c>
      <c r="AF45" s="14">
        <f t="shared" si="9"/>
        <v>67800000</v>
      </c>
      <c r="AG45" s="14">
        <f>IF(E45=1,AF45-Hitung!$AO$13,0)</f>
        <v>2100000</v>
      </c>
      <c r="AH45" s="73">
        <f>IF(E45=1,Hitung!E6-Hitung!B20,0)</f>
        <v>522</v>
      </c>
      <c r="AI45" s="14">
        <f t="shared" si="10"/>
        <v>4022.988506</v>
      </c>
      <c r="AK45" s="14">
        <v>40.0</v>
      </c>
      <c r="AL45" s="14">
        <f>AL44+SUMIFS(Setting!$E$30:$E$39,Setting!$A$30:$A$39,AL$4,Setting!$C$30:$C$39,"&lt;="&amp;($AK45-1),Setting!$D$30:$D$39,"&gt;="&amp;($AK45-1))</f>
        <v>40</v>
      </c>
      <c r="AM45" s="14">
        <f>AM44+SUMIFS(Setting!$E$30:$E$39,Setting!$A$30:$A$39,AM$4,Setting!$C$30:$C$39,"&lt;="&amp;($AK45-1),Setting!$D$30:$D$39,"&gt;="&amp;($AK45-1))</f>
        <v>40</v>
      </c>
    </row>
    <row r="46" ht="15.75" customHeight="1">
      <c r="A46" s="14">
        <v>4.0</v>
      </c>
      <c r="B46" s="14">
        <v>3.0</v>
      </c>
      <c r="C46" s="14" t="str">
        <f>Hitung!A20</f>
        <v>Nathanael</v>
      </c>
      <c r="D46" s="14" t="str">
        <f>Hitung!B7</f>
        <v>S1</v>
      </c>
      <c r="E46" s="14">
        <f>IF(AND(C46&lt;&gt;"",D46&lt;&gt;"",Hitung!B20&gt;0,Hitung!E7&gt;Hitung!B20,G46&lt;&gt;B46,F46&gt;0),1,0)</f>
        <v>1</v>
      </c>
      <c r="F46" s="25">
        <f>Hitung!D20</f>
        <v>21</v>
      </c>
      <c r="G46" s="14">
        <f>Hitung!X20</f>
        <v>1</v>
      </c>
      <c r="H46" s="25">
        <f>Hitung!$M$5-IF($G46=1,$F46,0)+IF($B46=1,$F46,0)</f>
        <v>84</v>
      </c>
      <c r="I46" s="14">
        <f>Hitung!$M$6-IF($G46=2,$F46,0)+IF($B46=2,$F46,0)</f>
        <v>0</v>
      </c>
      <c r="J46" s="25">
        <f>Hitung!$M$7-IF($G46=3,$F46,0)+IF($B46=3,$F46,0)</f>
        <v>63</v>
      </c>
      <c r="K46" s="14">
        <f>Hitung!$M$8-IF($G46=4,$F46,0)+IF($B46=4,$F46,0)</f>
        <v>0</v>
      </c>
      <c r="L46" s="14">
        <f>Hitung!$M$9-IF($G46=5,$F46,0)+IF($B46=5,$F46,0)</f>
        <v>0</v>
      </c>
      <c r="M46" s="14">
        <f>Hitung!$M$10-IF($G46=6,$F46,0)+IF($B46=6,$F46,0)</f>
        <v>61</v>
      </c>
      <c r="N46" s="14">
        <f>Hitung!$M$11-IF($G46=7,$F46,0)+IF($B46=7,$F46,0)</f>
        <v>0</v>
      </c>
      <c r="O46" s="14">
        <f>Hitung!$M$12-IF($G46=8,$F46,0)+IF($B46=8,$F46,0)</f>
        <v>0</v>
      </c>
      <c r="P46" s="14">
        <f t="shared" si="1"/>
        <v>0</v>
      </c>
      <c r="Q46" s="14">
        <f t="shared" si="2"/>
        <v>0</v>
      </c>
      <c r="R46" s="14">
        <f t="shared" si="3"/>
        <v>61</v>
      </c>
      <c r="S46" s="14">
        <f t="shared" si="4"/>
        <v>61</v>
      </c>
      <c r="T46" s="14">
        <f t="shared" si="5"/>
        <v>61</v>
      </c>
      <c r="U46" s="14">
        <f t="shared" si="6"/>
        <v>0</v>
      </c>
      <c r="V46" s="14">
        <f t="shared" si="7"/>
        <v>0</v>
      </c>
      <c r="W46" s="14">
        <f t="shared" si="8"/>
        <v>0</v>
      </c>
      <c r="X46" s="14">
        <f t="array" ref="X46">IF(H46=0,0,Hitung!$D$5*IF(Hitung!$C$5="Conquest",INDEX($AL$5:$AL$705,P46+H46+1)-INDEX($AL$5:$AL$705,P46+1),INDEX($AM$5:$AM$705,P46+H46+1)-INDEX($AM$5:$AM$705,P46+1)))</f>
        <v>25200000</v>
      </c>
      <c r="Y46" s="14">
        <f t="array" ref="Y46">IF(I46=0,0,Hitung!$D$6*IF(Hitung!$C$6="Conquest",INDEX($AL$5:$AL$705,Q46+I46+1)-INDEX($AL$5:$AL$705,Q46+1),INDEX($AM$5:$AM$705,Q46+I46+1)-INDEX($AM$5:$AM$705,Q46+1)))</f>
        <v>0</v>
      </c>
      <c r="Z46" s="14">
        <f t="array" ref="Z46">IF(J46=0,0,Hitung!$D$7*IF(Hitung!$C$7="Conquest",INDEX($AL$5:$AL$705,R46+J46+1)-INDEX($AL$5:$AL$705,R46+1),INDEX($AM$5:$AM$705,R46+J46+1)-INDEX($AM$5:$AM$705,R46+1)))</f>
        <v>7920000</v>
      </c>
      <c r="AA46" s="14">
        <f t="array" ref="AA46">IF(K46=0,0,Hitung!$D$8*IF(Hitung!$C$8="Conquest",INDEX($AL$5:$AL$705,S46+K46+1)-INDEX($AL$5:$AL$705,S46+1),INDEX($AM$5:$AM$705,S46+K46+1)-INDEX($AM$5:$AM$705,S46+1)))</f>
        <v>0</v>
      </c>
      <c r="AB46" s="14">
        <f t="array" ref="AB46">IF(L46=0,0,Hitung!$D$9*IF(Hitung!$C$9="Conquest",INDEX($AL$5:$AL$705,T46+L46+1)-INDEX($AL$5:$AL$705,T46+1),INDEX($AM$5:$AM$705,T46+L46+1)-INDEX($AM$5:$AM$705,T46+1)))</f>
        <v>0</v>
      </c>
      <c r="AC46" s="14">
        <f t="array" ref="AC46">IF(M46=0,0,Hitung!$D$10*IF(Hitung!$C$10="Conquest",INDEX($AL$5:$AL$705,U46+M46+1)-INDEX($AL$5:$AL$705,U46+1),INDEX($AM$5:$AM$705,U46+M46+1)-INDEX($AM$5:$AM$705,U46+1)))</f>
        <v>28800000</v>
      </c>
      <c r="AD46" s="14">
        <f t="array" ref="AD46">IF(N46=0,0,Hitung!$D$11*IF(Hitung!$C$11="Conquest",INDEX($AL$5:$AL$705,V46+N46+1)-INDEX($AL$5:$AL$705,V46+1),INDEX($AM$5:$AM$705,V46+N46+1)-INDEX($AM$5:$AM$705,V46+1)))</f>
        <v>0</v>
      </c>
      <c r="AE46" s="14">
        <f t="array" ref="AE46">IF(O46=0,0,Hitung!$D$12*IF(Hitung!$C$12="Conquest",INDEX($AL$5:$AL$705,W46+O46+1)-INDEX($AL$5:$AL$705,W46+1),INDEX($AM$5:$AM$705,W46+O46+1)-INDEX($AM$5:$AM$705,W46+1)))</f>
        <v>0</v>
      </c>
      <c r="AF46" s="14">
        <f t="shared" si="9"/>
        <v>61920000</v>
      </c>
      <c r="AG46" s="14">
        <f>IF(E46=1,AF46-Hitung!$AO$13,0)</f>
        <v>-3780000</v>
      </c>
      <c r="AH46" s="73">
        <f>IF(E46=1,Hitung!E7-Hitung!B20,0)</f>
        <v>22</v>
      </c>
      <c r="AI46" s="14">
        <f t="shared" si="10"/>
        <v>0</v>
      </c>
      <c r="AK46" s="14">
        <v>41.0</v>
      </c>
      <c r="AL46" s="14">
        <f>AL45+SUMIFS(Setting!$E$30:$E$39,Setting!$A$30:$A$39,AL$4,Setting!$C$30:$C$39,"&lt;="&amp;($AK46-1),Setting!$D$30:$D$39,"&gt;="&amp;($AK46-1))</f>
        <v>41</v>
      </c>
      <c r="AM46" s="14">
        <f>AM45+SUMIFS(Setting!$E$30:$E$39,Setting!$A$30:$A$39,AM$4,Setting!$C$30:$C$39,"&lt;="&amp;($AK46-1),Setting!$D$30:$D$39,"&gt;="&amp;($AK46-1))</f>
        <v>41</v>
      </c>
    </row>
    <row r="47" ht="15.75" customHeight="1">
      <c r="A47" s="14">
        <v>4.0</v>
      </c>
      <c r="B47" s="14">
        <v>4.0</v>
      </c>
      <c r="C47" s="14" t="str">
        <f>Hitung!A20</f>
        <v>Nathanael</v>
      </c>
      <c r="D47" s="14" t="str">
        <f>Hitung!B8</f>
        <v>S2</v>
      </c>
      <c r="E47" s="14">
        <f>IF(AND(C47&lt;&gt;"",D47&lt;&gt;"",Hitung!B20&gt;0,Hitung!E8&gt;Hitung!B20,G47&lt;&gt;B47,F47&gt;0),1,0)</f>
        <v>1</v>
      </c>
      <c r="F47" s="25">
        <f>Hitung!D20</f>
        <v>21</v>
      </c>
      <c r="G47" s="14">
        <f>Hitung!X20</f>
        <v>1</v>
      </c>
      <c r="H47" s="25">
        <f>Hitung!$M$5-IF($G47=1,$F47,0)+IF($B47=1,$F47,0)</f>
        <v>84</v>
      </c>
      <c r="I47" s="14">
        <f>Hitung!$M$6-IF($G47=2,$F47,0)+IF($B47=2,$F47,0)</f>
        <v>0</v>
      </c>
      <c r="J47" s="14">
        <f>Hitung!$M$7-IF($G47=3,$F47,0)+IF($B47=3,$F47,0)</f>
        <v>42</v>
      </c>
      <c r="K47" s="25">
        <f>Hitung!$M$8-IF($G47=4,$F47,0)+IF($B47=4,$F47,0)</f>
        <v>21</v>
      </c>
      <c r="L47" s="14">
        <f>Hitung!$M$9-IF($G47=5,$F47,0)+IF($B47=5,$F47,0)</f>
        <v>0</v>
      </c>
      <c r="M47" s="14">
        <f>Hitung!$M$10-IF($G47=6,$F47,0)+IF($B47=6,$F47,0)</f>
        <v>61</v>
      </c>
      <c r="N47" s="14">
        <f>Hitung!$M$11-IF($G47=7,$F47,0)+IF($B47=7,$F47,0)</f>
        <v>0</v>
      </c>
      <c r="O47" s="14">
        <f>Hitung!$M$12-IF($G47=8,$F47,0)+IF($B47=8,$F47,0)</f>
        <v>0</v>
      </c>
      <c r="P47" s="14">
        <f t="shared" si="1"/>
        <v>0</v>
      </c>
      <c r="Q47" s="14">
        <f t="shared" si="2"/>
        <v>0</v>
      </c>
      <c r="R47" s="14">
        <f t="shared" si="3"/>
        <v>82</v>
      </c>
      <c r="S47" s="14">
        <f t="shared" si="4"/>
        <v>61</v>
      </c>
      <c r="T47" s="14">
        <f t="shared" si="5"/>
        <v>61</v>
      </c>
      <c r="U47" s="14">
        <f t="shared" si="6"/>
        <v>0</v>
      </c>
      <c r="V47" s="14">
        <f t="shared" si="7"/>
        <v>0</v>
      </c>
      <c r="W47" s="14">
        <f t="shared" si="8"/>
        <v>0</v>
      </c>
      <c r="X47" s="14">
        <f t="array" ref="X47">IF(H47=0,0,Hitung!$D$5*IF(Hitung!$C$5="Conquest",INDEX($AL$5:$AL$705,P47+H47+1)-INDEX($AL$5:$AL$705,P47+1),INDEX($AM$5:$AM$705,P47+H47+1)-INDEX($AM$5:$AM$705,P47+1)))</f>
        <v>25200000</v>
      </c>
      <c r="Y47" s="14">
        <f t="array" ref="Y47">IF(I47=0,0,Hitung!$D$6*IF(Hitung!$C$6="Conquest",INDEX($AL$5:$AL$705,Q47+I47+1)-INDEX($AL$5:$AL$705,Q47+1),INDEX($AM$5:$AM$705,Q47+I47+1)-INDEX($AM$5:$AM$705,Q47+1)))</f>
        <v>0</v>
      </c>
      <c r="Z47" s="14">
        <f t="array" ref="Z47">IF(J47=0,0,Hitung!$D$7*IF(Hitung!$C$7="Conquest",INDEX($AL$5:$AL$705,R47+J47+1)-INDEX($AL$5:$AL$705,R47+1),INDEX($AM$5:$AM$705,R47+J47+1)-INDEX($AM$5:$AM$705,R47+1)))</f>
        <v>3600000</v>
      </c>
      <c r="AA47" s="14">
        <f t="array" ref="AA47">IF(K47=0,0,Hitung!$D$8*IF(Hitung!$C$8="Conquest",INDEX($AL$5:$AL$705,S47+K47+1)-INDEX($AL$5:$AL$705,S47+1),INDEX($AM$5:$AM$705,S47+K47+1)-INDEX($AM$5:$AM$705,S47+1)))</f>
        <v>5184000</v>
      </c>
      <c r="AB47" s="14">
        <f t="array" ref="AB47">IF(L47=0,0,Hitung!$D$9*IF(Hitung!$C$9="Conquest",INDEX($AL$5:$AL$705,T47+L47+1)-INDEX($AL$5:$AL$705,T47+1),INDEX($AM$5:$AM$705,T47+L47+1)-INDEX($AM$5:$AM$705,T47+1)))</f>
        <v>0</v>
      </c>
      <c r="AC47" s="14">
        <f t="array" ref="AC47">IF(M47=0,0,Hitung!$D$10*IF(Hitung!$C$10="Conquest",INDEX($AL$5:$AL$705,U47+M47+1)-INDEX($AL$5:$AL$705,U47+1),INDEX($AM$5:$AM$705,U47+M47+1)-INDEX($AM$5:$AM$705,U47+1)))</f>
        <v>28800000</v>
      </c>
      <c r="AD47" s="14">
        <f t="array" ref="AD47">IF(N47=0,0,Hitung!$D$11*IF(Hitung!$C$11="Conquest",INDEX($AL$5:$AL$705,V47+N47+1)-INDEX($AL$5:$AL$705,V47+1),INDEX($AM$5:$AM$705,V47+N47+1)-INDEX($AM$5:$AM$705,V47+1)))</f>
        <v>0</v>
      </c>
      <c r="AE47" s="14">
        <f t="array" ref="AE47">IF(O47=0,0,Hitung!$D$12*IF(Hitung!$C$12="Conquest",INDEX($AL$5:$AL$705,W47+O47+1)-INDEX($AL$5:$AL$705,W47+1),INDEX($AM$5:$AM$705,W47+O47+1)-INDEX($AM$5:$AM$705,W47+1)))</f>
        <v>0</v>
      </c>
      <c r="AF47" s="14">
        <f t="shared" si="9"/>
        <v>62784000</v>
      </c>
      <c r="AG47" s="14">
        <f>IF(E47=1,AF47-Hitung!$AO$13,0)</f>
        <v>-2916000</v>
      </c>
      <c r="AH47" s="73">
        <f>IF(E47=1,Hitung!E8-Hitung!B20,0)</f>
        <v>322</v>
      </c>
      <c r="AI47" s="14">
        <f t="shared" si="10"/>
        <v>0</v>
      </c>
      <c r="AK47" s="14">
        <v>42.0</v>
      </c>
      <c r="AL47" s="14">
        <f>AL46+SUMIFS(Setting!$E$30:$E$39,Setting!$A$30:$A$39,AL$4,Setting!$C$30:$C$39,"&lt;="&amp;($AK47-1),Setting!$D$30:$D$39,"&gt;="&amp;($AK47-1))</f>
        <v>42</v>
      </c>
      <c r="AM47" s="14">
        <f>AM46+SUMIFS(Setting!$E$30:$E$39,Setting!$A$30:$A$39,AM$4,Setting!$C$30:$C$39,"&lt;="&amp;($AK47-1),Setting!$D$30:$D$39,"&gt;="&amp;($AK47-1))</f>
        <v>42</v>
      </c>
    </row>
    <row r="48" ht="15.75" customHeight="1">
      <c r="A48" s="14">
        <v>4.0</v>
      </c>
      <c r="B48" s="14">
        <v>5.0</v>
      </c>
      <c r="C48" s="14" t="str">
        <f>Hitung!A20</f>
        <v>Nathanael</v>
      </c>
      <c r="D48" s="14" t="str">
        <f>Hitung!B9</f>
        <v>S3</v>
      </c>
      <c r="E48" s="14">
        <f>IF(AND(C48&lt;&gt;"",D48&lt;&gt;"",Hitung!B20&gt;0,Hitung!E9&gt;Hitung!B20,G48&lt;&gt;B48,F48&gt;0),1,0)</f>
        <v>1</v>
      </c>
      <c r="F48" s="25">
        <f>Hitung!D20</f>
        <v>21</v>
      </c>
      <c r="G48" s="14">
        <f>Hitung!X20</f>
        <v>1</v>
      </c>
      <c r="H48" s="25">
        <f>Hitung!$M$5-IF($G48=1,$F48,0)+IF($B48=1,$F48,0)</f>
        <v>84</v>
      </c>
      <c r="I48" s="14">
        <f>Hitung!$M$6-IF($G48=2,$F48,0)+IF($B48=2,$F48,0)</f>
        <v>0</v>
      </c>
      <c r="J48" s="14">
        <f>Hitung!$M$7-IF($G48=3,$F48,0)+IF($B48=3,$F48,0)</f>
        <v>42</v>
      </c>
      <c r="K48" s="14">
        <f>Hitung!$M$8-IF($G48=4,$F48,0)+IF($B48=4,$F48,0)</f>
        <v>0</v>
      </c>
      <c r="L48" s="25">
        <f>Hitung!$M$9-IF($G48=5,$F48,0)+IF($B48=5,$F48,0)</f>
        <v>21</v>
      </c>
      <c r="M48" s="14">
        <f>Hitung!$M$10-IF($G48=6,$F48,0)+IF($B48=6,$F48,0)</f>
        <v>61</v>
      </c>
      <c r="N48" s="14">
        <f>Hitung!$M$11-IF($G48=7,$F48,0)+IF($B48=7,$F48,0)</f>
        <v>0</v>
      </c>
      <c r="O48" s="14">
        <f>Hitung!$M$12-IF($G48=8,$F48,0)+IF($B48=8,$F48,0)</f>
        <v>0</v>
      </c>
      <c r="P48" s="14">
        <f t="shared" si="1"/>
        <v>0</v>
      </c>
      <c r="Q48" s="14">
        <f t="shared" si="2"/>
        <v>0</v>
      </c>
      <c r="R48" s="14">
        <f t="shared" si="3"/>
        <v>82</v>
      </c>
      <c r="S48" s="14">
        <f t="shared" si="4"/>
        <v>82</v>
      </c>
      <c r="T48" s="14">
        <f t="shared" si="5"/>
        <v>61</v>
      </c>
      <c r="U48" s="14">
        <f t="shared" si="6"/>
        <v>0</v>
      </c>
      <c r="V48" s="14">
        <f t="shared" si="7"/>
        <v>0</v>
      </c>
      <c r="W48" s="14">
        <f t="shared" si="8"/>
        <v>0</v>
      </c>
      <c r="X48" s="14">
        <f t="array" ref="X48">IF(H48=0,0,Hitung!$D$5*IF(Hitung!$C$5="Conquest",INDEX($AL$5:$AL$705,P48+H48+1)-INDEX($AL$5:$AL$705,P48+1),INDEX($AM$5:$AM$705,P48+H48+1)-INDEX($AM$5:$AM$705,P48+1)))</f>
        <v>25200000</v>
      </c>
      <c r="Y48" s="14">
        <f t="array" ref="Y48">IF(I48=0,0,Hitung!$D$6*IF(Hitung!$C$6="Conquest",INDEX($AL$5:$AL$705,Q48+I48+1)-INDEX($AL$5:$AL$705,Q48+1),INDEX($AM$5:$AM$705,Q48+I48+1)-INDEX($AM$5:$AM$705,Q48+1)))</f>
        <v>0</v>
      </c>
      <c r="Z48" s="14">
        <f t="array" ref="Z48">IF(J48=0,0,Hitung!$D$7*IF(Hitung!$C$7="Conquest",INDEX($AL$5:$AL$705,R48+J48+1)-INDEX($AL$5:$AL$705,R48+1),INDEX($AM$5:$AM$705,R48+J48+1)-INDEX($AM$5:$AM$705,R48+1)))</f>
        <v>3600000</v>
      </c>
      <c r="AA48" s="14">
        <f t="array" ref="AA48">IF(K48=0,0,Hitung!$D$8*IF(Hitung!$C$8="Conquest",INDEX($AL$5:$AL$705,S48+K48+1)-INDEX($AL$5:$AL$705,S48+1),INDEX($AM$5:$AM$705,S48+K48+1)-INDEX($AM$5:$AM$705,S48+1)))</f>
        <v>0</v>
      </c>
      <c r="AB48" s="14">
        <f t="array" ref="AB48">IF(L48=0,0,Hitung!$D$9*IF(Hitung!$C$9="Conquest",INDEX($AL$5:$AL$705,T48+L48+1)-INDEX($AL$5:$AL$705,T48+1),INDEX($AM$5:$AM$705,T48+L48+1)-INDEX($AM$5:$AM$705,T48+1)))</f>
        <v>6048000</v>
      </c>
      <c r="AC48" s="14">
        <f t="array" ref="AC48">IF(M48=0,0,Hitung!$D$10*IF(Hitung!$C$10="Conquest",INDEX($AL$5:$AL$705,U48+M48+1)-INDEX($AL$5:$AL$705,U48+1),INDEX($AM$5:$AM$705,U48+M48+1)-INDEX($AM$5:$AM$705,U48+1)))</f>
        <v>28800000</v>
      </c>
      <c r="AD48" s="14">
        <f t="array" ref="AD48">IF(N48=0,0,Hitung!$D$11*IF(Hitung!$C$11="Conquest",INDEX($AL$5:$AL$705,V48+N48+1)-INDEX($AL$5:$AL$705,V48+1),INDEX($AM$5:$AM$705,V48+N48+1)-INDEX($AM$5:$AM$705,V48+1)))</f>
        <v>0</v>
      </c>
      <c r="AE48" s="14">
        <f t="array" ref="AE48">IF(O48=0,0,Hitung!$D$12*IF(Hitung!$C$12="Conquest",INDEX($AL$5:$AL$705,W48+O48+1)-INDEX($AL$5:$AL$705,W48+1),INDEX($AM$5:$AM$705,W48+O48+1)-INDEX($AM$5:$AM$705,W48+1)))</f>
        <v>0</v>
      </c>
      <c r="AF48" s="14">
        <f t="shared" si="9"/>
        <v>63648000</v>
      </c>
      <c r="AG48" s="14">
        <f>IF(E48=1,AF48-Hitung!$AO$13,0)</f>
        <v>-2052000</v>
      </c>
      <c r="AH48" s="73">
        <f>IF(E48=1,Hitung!E9-Hitung!B20,0)</f>
        <v>622</v>
      </c>
      <c r="AI48" s="14">
        <f t="shared" si="10"/>
        <v>0</v>
      </c>
      <c r="AK48" s="14">
        <v>43.0</v>
      </c>
      <c r="AL48" s="14">
        <f>AL47+SUMIFS(Setting!$E$30:$E$39,Setting!$A$30:$A$39,AL$4,Setting!$C$30:$C$39,"&lt;="&amp;($AK48-1),Setting!$D$30:$D$39,"&gt;="&amp;($AK48-1))</f>
        <v>43</v>
      </c>
      <c r="AM48" s="14">
        <f>AM47+SUMIFS(Setting!$E$30:$E$39,Setting!$A$30:$A$39,AM$4,Setting!$C$30:$C$39,"&lt;="&amp;($AK48-1),Setting!$D$30:$D$39,"&gt;="&amp;($AK48-1))</f>
        <v>43</v>
      </c>
    </row>
    <row r="49" ht="15.75" customHeight="1">
      <c r="A49" s="14">
        <v>4.0</v>
      </c>
      <c r="B49" s="14">
        <v>6.0</v>
      </c>
      <c r="C49" s="14" t="str">
        <f>Hitung!A20</f>
        <v>Nathanael</v>
      </c>
      <c r="D49" s="14" t="str">
        <f>Hitung!B10</f>
        <v>S4</v>
      </c>
      <c r="E49" s="14">
        <f>IF(AND(C49&lt;&gt;"",D49&lt;&gt;"",Hitung!B20&gt;0,Hitung!E10&gt;Hitung!B20,G49&lt;&gt;B49,F49&gt;0),1,0)</f>
        <v>1</v>
      </c>
      <c r="F49" s="25">
        <f>Hitung!D20</f>
        <v>21</v>
      </c>
      <c r="G49" s="14">
        <f>Hitung!X20</f>
        <v>1</v>
      </c>
      <c r="H49" s="25">
        <f>Hitung!$M$5-IF($G49=1,$F49,0)+IF($B49=1,$F49,0)</f>
        <v>84</v>
      </c>
      <c r="I49" s="14">
        <f>Hitung!$M$6-IF($G49=2,$F49,0)+IF($B49=2,$F49,0)</f>
        <v>0</v>
      </c>
      <c r="J49" s="14">
        <f>Hitung!$M$7-IF($G49=3,$F49,0)+IF($B49=3,$F49,0)</f>
        <v>42</v>
      </c>
      <c r="K49" s="14">
        <f>Hitung!$M$8-IF($G49=4,$F49,0)+IF($B49=4,$F49,0)</f>
        <v>0</v>
      </c>
      <c r="L49" s="14">
        <f>Hitung!$M$9-IF($G49=5,$F49,0)+IF($B49=5,$F49,0)</f>
        <v>0</v>
      </c>
      <c r="M49" s="25">
        <f>Hitung!$M$10-IF($G49=6,$F49,0)+IF($B49=6,$F49,0)</f>
        <v>82</v>
      </c>
      <c r="N49" s="14">
        <f>Hitung!$M$11-IF($G49=7,$F49,0)+IF($B49=7,$F49,0)</f>
        <v>0</v>
      </c>
      <c r="O49" s="14">
        <f>Hitung!$M$12-IF($G49=8,$F49,0)+IF($B49=8,$F49,0)</f>
        <v>0</v>
      </c>
      <c r="P49" s="14">
        <f t="shared" si="1"/>
        <v>0</v>
      </c>
      <c r="Q49" s="14">
        <f t="shared" si="2"/>
        <v>0</v>
      </c>
      <c r="R49" s="14">
        <f t="shared" si="3"/>
        <v>82</v>
      </c>
      <c r="S49" s="14">
        <f t="shared" si="4"/>
        <v>82</v>
      </c>
      <c r="T49" s="14">
        <f t="shared" si="5"/>
        <v>82</v>
      </c>
      <c r="U49" s="14">
        <f t="shared" si="6"/>
        <v>0</v>
      </c>
      <c r="V49" s="14">
        <f t="shared" si="7"/>
        <v>0</v>
      </c>
      <c r="W49" s="14">
        <f t="shared" si="8"/>
        <v>0</v>
      </c>
      <c r="X49" s="14">
        <f t="array" ref="X49">IF(H49=0,0,Hitung!$D$5*IF(Hitung!$C$5="Conquest",INDEX($AL$5:$AL$705,P49+H49+1)-INDEX($AL$5:$AL$705,P49+1),INDEX($AM$5:$AM$705,P49+H49+1)-INDEX($AM$5:$AM$705,P49+1)))</f>
        <v>25200000</v>
      </c>
      <c r="Y49" s="14">
        <f t="array" ref="Y49">IF(I49=0,0,Hitung!$D$6*IF(Hitung!$C$6="Conquest",INDEX($AL$5:$AL$705,Q49+I49+1)-INDEX($AL$5:$AL$705,Q49+1),INDEX($AM$5:$AM$705,Q49+I49+1)-INDEX($AM$5:$AM$705,Q49+1)))</f>
        <v>0</v>
      </c>
      <c r="Z49" s="14">
        <f t="array" ref="Z49">IF(J49=0,0,Hitung!$D$7*IF(Hitung!$C$7="Conquest",INDEX($AL$5:$AL$705,R49+J49+1)-INDEX($AL$5:$AL$705,R49+1),INDEX($AM$5:$AM$705,R49+J49+1)-INDEX($AM$5:$AM$705,R49+1)))</f>
        <v>3600000</v>
      </c>
      <c r="AA49" s="14">
        <f t="array" ref="AA49">IF(K49=0,0,Hitung!$D$8*IF(Hitung!$C$8="Conquest",INDEX($AL$5:$AL$705,S49+K49+1)-INDEX($AL$5:$AL$705,S49+1),INDEX($AM$5:$AM$705,S49+K49+1)-INDEX($AM$5:$AM$705,S49+1)))</f>
        <v>0</v>
      </c>
      <c r="AB49" s="14">
        <f t="array" ref="AB49">IF(L49=0,0,Hitung!$D$9*IF(Hitung!$C$9="Conquest",INDEX($AL$5:$AL$705,T49+L49+1)-INDEX($AL$5:$AL$705,T49+1),INDEX($AM$5:$AM$705,T49+L49+1)-INDEX($AM$5:$AM$705,T49+1)))</f>
        <v>0</v>
      </c>
      <c r="AC49" s="14">
        <f t="array" ref="AC49">IF(M49=0,0,Hitung!$D$10*IF(Hitung!$C$10="Conquest",INDEX($AL$5:$AL$705,U49+M49+1)-INDEX($AL$5:$AL$705,U49+1),INDEX($AM$5:$AM$705,U49+M49+1)-INDEX($AM$5:$AM$705,U49+1)))</f>
        <v>35712000</v>
      </c>
      <c r="AD49" s="14">
        <f t="array" ref="AD49">IF(N49=0,0,Hitung!$D$11*IF(Hitung!$C$11="Conquest",INDEX($AL$5:$AL$705,V49+N49+1)-INDEX($AL$5:$AL$705,V49+1),INDEX($AM$5:$AM$705,V49+N49+1)-INDEX($AM$5:$AM$705,V49+1)))</f>
        <v>0</v>
      </c>
      <c r="AE49" s="14">
        <f t="array" ref="AE49">IF(O49=0,0,Hitung!$D$12*IF(Hitung!$C$12="Conquest",INDEX($AL$5:$AL$705,W49+O49+1)-INDEX($AL$5:$AL$705,W49+1),INDEX($AM$5:$AM$705,W49+O49+1)-INDEX($AM$5:$AM$705,W49+1)))</f>
        <v>0</v>
      </c>
      <c r="AF49" s="14">
        <f t="shared" si="9"/>
        <v>64512000</v>
      </c>
      <c r="AG49" s="14">
        <f>IF(E49=1,AF49-Hitung!$AO$13,0)</f>
        <v>-1188000</v>
      </c>
      <c r="AH49" s="73">
        <f>IF(E49=1,Hitung!E10-Hitung!B20,0)</f>
        <v>922</v>
      </c>
      <c r="AI49" s="14">
        <f t="shared" si="10"/>
        <v>0</v>
      </c>
      <c r="AK49" s="14">
        <v>44.0</v>
      </c>
      <c r="AL49" s="14">
        <f>AL48+SUMIFS(Setting!$E$30:$E$39,Setting!$A$30:$A$39,AL$4,Setting!$C$30:$C$39,"&lt;="&amp;($AK49-1),Setting!$D$30:$D$39,"&gt;="&amp;($AK49-1))</f>
        <v>44</v>
      </c>
      <c r="AM49" s="14">
        <f>AM48+SUMIFS(Setting!$E$30:$E$39,Setting!$A$30:$A$39,AM$4,Setting!$C$30:$C$39,"&lt;="&amp;($AK49-1),Setting!$D$30:$D$39,"&gt;="&amp;($AK49-1))</f>
        <v>44</v>
      </c>
    </row>
    <row r="50" ht="15.75" customHeight="1">
      <c r="A50" s="14">
        <v>4.0</v>
      </c>
      <c r="B50" s="14">
        <v>7.0</v>
      </c>
      <c r="C50" s="14" t="str">
        <f>Hitung!A20</f>
        <v>Nathanael</v>
      </c>
      <c r="D50" s="14" t="str">
        <f>Hitung!B11</f>
        <v/>
      </c>
      <c r="E50" s="14">
        <f>IF(AND(C50&lt;&gt;"",D50&lt;&gt;"",Hitung!B20&gt;0,Hitung!E11&gt;Hitung!B20,G50&lt;&gt;B50,F50&gt;0),1,0)</f>
        <v>0</v>
      </c>
      <c r="F50" s="25">
        <f>Hitung!D20</f>
        <v>21</v>
      </c>
      <c r="G50" s="14">
        <f>Hitung!X20</f>
        <v>1</v>
      </c>
      <c r="H50" s="25">
        <f>Hitung!$M$5-IF($G50=1,$F50,0)+IF($B50=1,$F50,0)</f>
        <v>84</v>
      </c>
      <c r="I50" s="14">
        <f>Hitung!$M$6-IF($G50=2,$F50,0)+IF($B50=2,$F50,0)</f>
        <v>0</v>
      </c>
      <c r="J50" s="14">
        <f>Hitung!$M$7-IF($G50=3,$F50,0)+IF($B50=3,$F50,0)</f>
        <v>42</v>
      </c>
      <c r="K50" s="14">
        <f>Hitung!$M$8-IF($G50=4,$F50,0)+IF($B50=4,$F50,0)</f>
        <v>0</v>
      </c>
      <c r="L50" s="14">
        <f>Hitung!$M$9-IF($G50=5,$F50,0)+IF($B50=5,$F50,0)</f>
        <v>0</v>
      </c>
      <c r="M50" s="14">
        <f>Hitung!$M$10-IF($G50=6,$F50,0)+IF($B50=6,$F50,0)</f>
        <v>61</v>
      </c>
      <c r="N50" s="25">
        <f>Hitung!$M$11-IF($G50=7,$F50,0)+IF($B50=7,$F50,0)</f>
        <v>21</v>
      </c>
      <c r="O50" s="14">
        <f>Hitung!$M$12-IF($G50=8,$F50,0)+IF($B50=8,$F50,0)</f>
        <v>0</v>
      </c>
      <c r="P50" s="14">
        <f t="shared" si="1"/>
        <v>0</v>
      </c>
      <c r="Q50" s="14">
        <f t="shared" si="2"/>
        <v>0</v>
      </c>
      <c r="R50" s="14">
        <f t="shared" si="3"/>
        <v>61</v>
      </c>
      <c r="S50" s="14">
        <f t="shared" si="4"/>
        <v>61</v>
      </c>
      <c r="T50" s="14">
        <f t="shared" si="5"/>
        <v>61</v>
      </c>
      <c r="U50" s="14">
        <f t="shared" si="6"/>
        <v>0</v>
      </c>
      <c r="V50" s="14">
        <f t="shared" si="7"/>
        <v>0</v>
      </c>
      <c r="W50" s="14">
        <f t="shared" si="8"/>
        <v>0</v>
      </c>
      <c r="X50" s="14">
        <f t="array" ref="X50">IF(H50=0,0,Hitung!$D$5*IF(Hitung!$C$5="Conquest",INDEX($AL$5:$AL$705,P50+H50+1)-INDEX($AL$5:$AL$705,P50+1),INDEX($AM$5:$AM$705,P50+H50+1)-INDEX($AM$5:$AM$705,P50+1)))</f>
        <v>25200000</v>
      </c>
      <c r="Y50" s="14">
        <f t="array" ref="Y50">IF(I50=0,0,Hitung!$D$6*IF(Hitung!$C$6="Conquest",INDEX($AL$5:$AL$705,Q50+I50+1)-INDEX($AL$5:$AL$705,Q50+1),INDEX($AM$5:$AM$705,Q50+I50+1)-INDEX($AM$5:$AM$705,Q50+1)))</f>
        <v>0</v>
      </c>
      <c r="Z50" s="14">
        <f t="array" ref="Z50">IF(J50=0,0,Hitung!$D$7*IF(Hitung!$C$7="Conquest",INDEX($AL$5:$AL$705,R50+J50+1)-INDEX($AL$5:$AL$705,R50+1),INDEX($AM$5:$AM$705,R50+J50+1)-INDEX($AM$5:$AM$705,R50+1)))</f>
        <v>6660000</v>
      </c>
      <c r="AA50" s="14">
        <f t="array" ref="AA50">IF(K50=0,0,Hitung!$D$8*IF(Hitung!$C$8="Conquest",INDEX($AL$5:$AL$705,S50+K50+1)-INDEX($AL$5:$AL$705,S50+1),INDEX($AM$5:$AM$705,S50+K50+1)-INDEX($AM$5:$AM$705,S50+1)))</f>
        <v>0</v>
      </c>
      <c r="AB50" s="14">
        <f t="array" ref="AB50">IF(L50=0,0,Hitung!$D$9*IF(Hitung!$C$9="Conquest",INDEX($AL$5:$AL$705,T50+L50+1)-INDEX($AL$5:$AL$705,T50+1),INDEX($AM$5:$AM$705,T50+L50+1)-INDEX($AM$5:$AM$705,T50+1)))</f>
        <v>0</v>
      </c>
      <c r="AC50" s="14">
        <f t="array" ref="AC50">IF(M50=0,0,Hitung!$D$10*IF(Hitung!$C$10="Conquest",INDEX($AL$5:$AL$705,U50+M50+1)-INDEX($AL$5:$AL$705,U50+1),INDEX($AM$5:$AM$705,U50+M50+1)-INDEX($AM$5:$AM$705,U50+1)))</f>
        <v>28800000</v>
      </c>
      <c r="AD50" s="14">
        <f t="array" ref="AD50">IF(N50=0,0,Hitung!$D$11*IF(Hitung!$C$11="Conquest",INDEX($AL$5:$AL$705,V50+N50+1)-INDEX($AL$5:$AL$705,V50+1),INDEX($AM$5:$AM$705,V50+N50+1)-INDEX($AM$5:$AM$705,V50+1)))</f>
        <v>0</v>
      </c>
      <c r="AE50" s="14">
        <f t="array" ref="AE50">IF(O50=0,0,Hitung!$D$12*IF(Hitung!$C$12="Conquest",INDEX($AL$5:$AL$705,W50+O50+1)-INDEX($AL$5:$AL$705,W50+1),INDEX($AM$5:$AM$705,W50+O50+1)-INDEX($AM$5:$AM$705,W50+1)))</f>
        <v>0</v>
      </c>
      <c r="AF50" s="14">
        <f t="shared" si="9"/>
        <v>60660000</v>
      </c>
      <c r="AG50" s="14">
        <f>IF(E50=1,AF50-Hitung!$AO$13,0)</f>
        <v>0</v>
      </c>
      <c r="AH50" s="14">
        <f>IF(E50=1,Hitung!E11-Hitung!B20,0)</f>
        <v>0</v>
      </c>
      <c r="AI50" s="14">
        <f t="shared" si="10"/>
        <v>0</v>
      </c>
      <c r="AK50" s="14">
        <v>45.0</v>
      </c>
      <c r="AL50" s="14">
        <f>AL49+SUMIFS(Setting!$E$30:$E$39,Setting!$A$30:$A$39,AL$4,Setting!$C$30:$C$39,"&lt;="&amp;($AK50-1),Setting!$D$30:$D$39,"&gt;="&amp;($AK50-1))</f>
        <v>45</v>
      </c>
      <c r="AM50" s="14">
        <f>AM49+SUMIFS(Setting!$E$30:$E$39,Setting!$A$30:$A$39,AM$4,Setting!$C$30:$C$39,"&lt;="&amp;($AK50-1),Setting!$D$30:$D$39,"&gt;="&amp;($AK50-1))</f>
        <v>45</v>
      </c>
    </row>
    <row r="51" ht="15.75" customHeight="1">
      <c r="A51" s="14">
        <v>4.0</v>
      </c>
      <c r="B51" s="14">
        <v>8.0</v>
      </c>
      <c r="C51" s="14" t="str">
        <f>Hitung!A20</f>
        <v>Nathanael</v>
      </c>
      <c r="D51" s="14" t="str">
        <f>Hitung!B12</f>
        <v/>
      </c>
      <c r="E51" s="14">
        <f>IF(AND(C51&lt;&gt;"",D51&lt;&gt;"",Hitung!B20&gt;0,Hitung!E12&gt;Hitung!B20,G51&lt;&gt;B51,F51&gt;0),1,0)</f>
        <v>0</v>
      </c>
      <c r="F51" s="25">
        <f>Hitung!D20</f>
        <v>21</v>
      </c>
      <c r="G51" s="14">
        <f>Hitung!X20</f>
        <v>1</v>
      </c>
      <c r="H51" s="25">
        <f>Hitung!$M$5-IF($G51=1,$F51,0)+IF($B51=1,$F51,0)</f>
        <v>84</v>
      </c>
      <c r="I51" s="14">
        <f>Hitung!$M$6-IF($G51=2,$F51,0)+IF($B51=2,$F51,0)</f>
        <v>0</v>
      </c>
      <c r="J51" s="14">
        <f>Hitung!$M$7-IF($G51=3,$F51,0)+IF($B51=3,$F51,0)</f>
        <v>42</v>
      </c>
      <c r="K51" s="14">
        <f>Hitung!$M$8-IF($G51=4,$F51,0)+IF($B51=4,$F51,0)</f>
        <v>0</v>
      </c>
      <c r="L51" s="14">
        <f>Hitung!$M$9-IF($G51=5,$F51,0)+IF($B51=5,$F51,0)</f>
        <v>0</v>
      </c>
      <c r="M51" s="14">
        <f>Hitung!$M$10-IF($G51=6,$F51,0)+IF($B51=6,$F51,0)</f>
        <v>61</v>
      </c>
      <c r="N51" s="14">
        <f>Hitung!$M$11-IF($G51=7,$F51,0)+IF($B51=7,$F51,0)</f>
        <v>0</v>
      </c>
      <c r="O51" s="25">
        <f>Hitung!$M$12-IF($G51=8,$F51,0)+IF($B51=8,$F51,0)</f>
        <v>21</v>
      </c>
      <c r="P51" s="14">
        <f t="shared" si="1"/>
        <v>0</v>
      </c>
      <c r="Q51" s="14">
        <f t="shared" si="2"/>
        <v>0</v>
      </c>
      <c r="R51" s="14">
        <f t="shared" si="3"/>
        <v>61</v>
      </c>
      <c r="S51" s="14">
        <f t="shared" si="4"/>
        <v>61</v>
      </c>
      <c r="T51" s="14">
        <f t="shared" si="5"/>
        <v>61</v>
      </c>
      <c r="U51" s="14">
        <f t="shared" si="6"/>
        <v>0</v>
      </c>
      <c r="V51" s="14">
        <f t="shared" si="7"/>
        <v>0</v>
      </c>
      <c r="W51" s="14">
        <f t="shared" si="8"/>
        <v>0</v>
      </c>
      <c r="X51" s="14">
        <f t="array" ref="X51">IF(H51=0,0,Hitung!$D$5*IF(Hitung!$C$5="Conquest",INDEX($AL$5:$AL$705,P51+H51+1)-INDEX($AL$5:$AL$705,P51+1),INDEX($AM$5:$AM$705,P51+H51+1)-INDEX($AM$5:$AM$705,P51+1)))</f>
        <v>25200000</v>
      </c>
      <c r="Y51" s="14">
        <f t="array" ref="Y51">IF(I51=0,0,Hitung!$D$6*IF(Hitung!$C$6="Conquest",INDEX($AL$5:$AL$705,Q51+I51+1)-INDEX($AL$5:$AL$705,Q51+1),INDEX($AM$5:$AM$705,Q51+I51+1)-INDEX($AM$5:$AM$705,Q51+1)))</f>
        <v>0</v>
      </c>
      <c r="Z51" s="14">
        <f t="array" ref="Z51">IF(J51=0,0,Hitung!$D$7*IF(Hitung!$C$7="Conquest",INDEX($AL$5:$AL$705,R51+J51+1)-INDEX($AL$5:$AL$705,R51+1),INDEX($AM$5:$AM$705,R51+J51+1)-INDEX($AM$5:$AM$705,R51+1)))</f>
        <v>6660000</v>
      </c>
      <c r="AA51" s="14">
        <f t="array" ref="AA51">IF(K51=0,0,Hitung!$D$8*IF(Hitung!$C$8="Conquest",INDEX($AL$5:$AL$705,S51+K51+1)-INDEX($AL$5:$AL$705,S51+1),INDEX($AM$5:$AM$705,S51+K51+1)-INDEX($AM$5:$AM$705,S51+1)))</f>
        <v>0</v>
      </c>
      <c r="AB51" s="14">
        <f t="array" ref="AB51">IF(L51=0,0,Hitung!$D$9*IF(Hitung!$C$9="Conquest",INDEX($AL$5:$AL$705,T51+L51+1)-INDEX($AL$5:$AL$705,T51+1),INDEX($AM$5:$AM$705,T51+L51+1)-INDEX($AM$5:$AM$705,T51+1)))</f>
        <v>0</v>
      </c>
      <c r="AC51" s="14">
        <f t="array" ref="AC51">IF(M51=0,0,Hitung!$D$10*IF(Hitung!$C$10="Conquest",INDEX($AL$5:$AL$705,U51+M51+1)-INDEX($AL$5:$AL$705,U51+1),INDEX($AM$5:$AM$705,U51+M51+1)-INDEX($AM$5:$AM$705,U51+1)))</f>
        <v>28800000</v>
      </c>
      <c r="AD51" s="14">
        <f t="array" ref="AD51">IF(N51=0,0,Hitung!$D$11*IF(Hitung!$C$11="Conquest",INDEX($AL$5:$AL$705,V51+N51+1)-INDEX($AL$5:$AL$705,V51+1),INDEX($AM$5:$AM$705,V51+N51+1)-INDEX($AM$5:$AM$705,V51+1)))</f>
        <v>0</v>
      </c>
      <c r="AE51" s="14">
        <f t="array" ref="AE51">IF(O51=0,0,Hitung!$D$12*IF(Hitung!$C$12="Conquest",INDEX($AL$5:$AL$705,W51+O51+1)-INDEX($AL$5:$AL$705,W51+1),INDEX($AM$5:$AM$705,W51+O51+1)-INDEX($AM$5:$AM$705,W51+1)))</f>
        <v>0</v>
      </c>
      <c r="AF51" s="14">
        <f t="shared" si="9"/>
        <v>60660000</v>
      </c>
      <c r="AG51" s="14">
        <f>IF(E51=1,AF51-Hitung!$AO$13,0)</f>
        <v>0</v>
      </c>
      <c r="AH51" s="14">
        <f>IF(E51=1,Hitung!E12-Hitung!B20,0)</f>
        <v>0</v>
      </c>
      <c r="AI51" s="14">
        <f t="shared" si="10"/>
        <v>0</v>
      </c>
      <c r="AK51" s="14">
        <v>46.0</v>
      </c>
      <c r="AL51" s="14">
        <f>AL50+SUMIFS(Setting!$E$30:$E$39,Setting!$A$30:$A$39,AL$4,Setting!$C$30:$C$39,"&lt;="&amp;($AK51-1),Setting!$D$30:$D$39,"&gt;="&amp;($AK51-1))</f>
        <v>46</v>
      </c>
      <c r="AM51" s="14">
        <f>AM50+SUMIFS(Setting!$E$30:$E$39,Setting!$A$30:$A$39,AM$4,Setting!$C$30:$C$39,"&lt;="&amp;($AK51-1),Setting!$D$30:$D$39,"&gt;="&amp;($AK51-1))</f>
        <v>46</v>
      </c>
    </row>
    <row r="52" ht="15.75" customHeight="1">
      <c r="A52" s="14">
        <v>5.0</v>
      </c>
      <c r="B52" s="14">
        <v>1.0</v>
      </c>
      <c r="C52" s="14" t="str">
        <f>Hitung!A21</f>
        <v>Cicero</v>
      </c>
      <c r="D52" s="14" t="str">
        <f>Hitung!B5</f>
        <v>T2</v>
      </c>
      <c r="E52" s="14">
        <f>IF(AND(C52&lt;&gt;"",D52&lt;&gt;"",Hitung!B21&gt;0,Hitung!E5&gt;Hitung!B21,G52&lt;&gt;B52,F52&gt;0),1,0)</f>
        <v>0</v>
      </c>
      <c r="F52" s="25">
        <f>Hitung!D21</f>
        <v>21</v>
      </c>
      <c r="G52" s="14">
        <f>Hitung!X21</f>
        <v>1</v>
      </c>
      <c r="H52" s="25">
        <f>Hitung!$M$5-IF($G52=1,$F52,0)+IF($B52=1,$F52,0)</f>
        <v>105</v>
      </c>
      <c r="I52" s="14">
        <f>Hitung!$M$6-IF($G52=2,$F52,0)+IF($B52=2,$F52,0)</f>
        <v>0</v>
      </c>
      <c r="J52" s="14">
        <f>Hitung!$M$7-IF($G52=3,$F52,0)+IF($B52=3,$F52,0)</f>
        <v>42</v>
      </c>
      <c r="K52" s="14">
        <f>Hitung!$M$8-IF($G52=4,$F52,0)+IF($B52=4,$F52,0)</f>
        <v>0</v>
      </c>
      <c r="L52" s="14">
        <f>Hitung!$M$9-IF($G52=5,$F52,0)+IF($B52=5,$F52,0)</f>
        <v>0</v>
      </c>
      <c r="M52" s="14">
        <f>Hitung!$M$10-IF($G52=6,$F52,0)+IF($B52=6,$F52,0)</f>
        <v>61</v>
      </c>
      <c r="N52" s="14">
        <f>Hitung!$M$11-IF($G52=7,$F52,0)+IF($B52=7,$F52,0)</f>
        <v>0</v>
      </c>
      <c r="O52" s="14">
        <f>Hitung!$M$12-IF($G52=8,$F52,0)+IF($B52=8,$F52,0)</f>
        <v>0</v>
      </c>
      <c r="P52" s="14">
        <f t="shared" si="1"/>
        <v>0</v>
      </c>
      <c r="Q52" s="14">
        <f t="shared" si="2"/>
        <v>0</v>
      </c>
      <c r="R52" s="14">
        <f t="shared" si="3"/>
        <v>61</v>
      </c>
      <c r="S52" s="14">
        <f t="shared" si="4"/>
        <v>61</v>
      </c>
      <c r="T52" s="14">
        <f t="shared" si="5"/>
        <v>61</v>
      </c>
      <c r="U52" s="14">
        <f t="shared" si="6"/>
        <v>0</v>
      </c>
      <c r="V52" s="14">
        <f t="shared" si="7"/>
        <v>0</v>
      </c>
      <c r="W52" s="14">
        <f t="shared" si="8"/>
        <v>0</v>
      </c>
      <c r="X52" s="14">
        <f t="array" ref="X52">IF(H52=0,0,Hitung!$D$5*IF(Hitung!$C$5="Conquest",INDEX($AL$5:$AL$705,P52+H52+1)-INDEX($AL$5:$AL$705,P52+1),INDEX($AM$5:$AM$705,P52+H52+1)-INDEX($AM$5:$AM$705,P52+1)))</f>
        <v>30240000</v>
      </c>
      <c r="Y52" s="14">
        <f t="array" ref="Y52">IF(I52=0,0,Hitung!$D$6*IF(Hitung!$C$6="Conquest",INDEX($AL$5:$AL$705,Q52+I52+1)-INDEX($AL$5:$AL$705,Q52+1),INDEX($AM$5:$AM$705,Q52+I52+1)-INDEX($AM$5:$AM$705,Q52+1)))</f>
        <v>0</v>
      </c>
      <c r="Z52" s="14">
        <f t="array" ref="Z52">IF(J52=0,0,Hitung!$D$7*IF(Hitung!$C$7="Conquest",INDEX($AL$5:$AL$705,R52+J52+1)-INDEX($AL$5:$AL$705,R52+1),INDEX($AM$5:$AM$705,R52+J52+1)-INDEX($AM$5:$AM$705,R52+1)))</f>
        <v>6660000</v>
      </c>
      <c r="AA52" s="14">
        <f t="array" ref="AA52">IF(K52=0,0,Hitung!$D$8*IF(Hitung!$C$8="Conquest",INDEX($AL$5:$AL$705,S52+K52+1)-INDEX($AL$5:$AL$705,S52+1),INDEX($AM$5:$AM$705,S52+K52+1)-INDEX($AM$5:$AM$705,S52+1)))</f>
        <v>0</v>
      </c>
      <c r="AB52" s="14">
        <f t="array" ref="AB52">IF(L52=0,0,Hitung!$D$9*IF(Hitung!$C$9="Conquest",INDEX($AL$5:$AL$705,T52+L52+1)-INDEX($AL$5:$AL$705,T52+1),INDEX($AM$5:$AM$705,T52+L52+1)-INDEX($AM$5:$AM$705,T52+1)))</f>
        <v>0</v>
      </c>
      <c r="AC52" s="14">
        <f t="array" ref="AC52">IF(M52=0,0,Hitung!$D$10*IF(Hitung!$C$10="Conquest",INDEX($AL$5:$AL$705,U52+M52+1)-INDEX($AL$5:$AL$705,U52+1),INDEX($AM$5:$AM$705,U52+M52+1)-INDEX($AM$5:$AM$705,U52+1)))</f>
        <v>28800000</v>
      </c>
      <c r="AD52" s="14">
        <f t="array" ref="AD52">IF(N52=0,0,Hitung!$D$11*IF(Hitung!$C$11="Conquest",INDEX($AL$5:$AL$705,V52+N52+1)-INDEX($AL$5:$AL$705,V52+1),INDEX($AM$5:$AM$705,V52+N52+1)-INDEX($AM$5:$AM$705,V52+1)))</f>
        <v>0</v>
      </c>
      <c r="AE52" s="14">
        <f t="array" ref="AE52">IF(O52=0,0,Hitung!$D$12*IF(Hitung!$C$12="Conquest",INDEX($AL$5:$AL$705,W52+O52+1)-INDEX($AL$5:$AL$705,W52+1),INDEX($AM$5:$AM$705,W52+O52+1)-INDEX($AM$5:$AM$705,W52+1)))</f>
        <v>0</v>
      </c>
      <c r="AF52" s="14">
        <f t="shared" si="9"/>
        <v>65700000</v>
      </c>
      <c r="AG52" s="14">
        <f>IF(E52=1,AF52-Hitung!$AO$13,0)</f>
        <v>0</v>
      </c>
      <c r="AH52" s="14">
        <f>IF(E52=1,Hitung!E5-Hitung!B21,0)</f>
        <v>0</v>
      </c>
      <c r="AI52" s="14">
        <f t="shared" si="10"/>
        <v>0</v>
      </c>
      <c r="AK52" s="14">
        <v>47.0</v>
      </c>
      <c r="AL52" s="14">
        <f>AL51+SUMIFS(Setting!$E$30:$E$39,Setting!$A$30:$A$39,AL$4,Setting!$C$30:$C$39,"&lt;="&amp;($AK52-1),Setting!$D$30:$D$39,"&gt;="&amp;($AK52-1))</f>
        <v>47</v>
      </c>
      <c r="AM52" s="14">
        <f>AM51+SUMIFS(Setting!$E$30:$E$39,Setting!$A$30:$A$39,AM$4,Setting!$C$30:$C$39,"&lt;="&amp;($AK52-1),Setting!$D$30:$D$39,"&gt;="&amp;($AK52-1))</f>
        <v>47</v>
      </c>
    </row>
    <row r="53" ht="15.75" customHeight="1">
      <c r="A53" s="14">
        <v>5.0</v>
      </c>
      <c r="B53" s="14">
        <v>2.0</v>
      </c>
      <c r="C53" s="14" t="str">
        <f>Hitung!A21</f>
        <v>Cicero</v>
      </c>
      <c r="D53" s="14" t="str">
        <f>Hitung!B6</f>
        <v>T3</v>
      </c>
      <c r="E53" s="14">
        <f>IF(AND(C53&lt;&gt;"",D53&lt;&gt;"",Hitung!B21&gt;0,Hitung!E6&gt;Hitung!B21,G53&lt;&gt;B53,F53&gt;0),1,0)</f>
        <v>1</v>
      </c>
      <c r="F53" s="25">
        <f>Hitung!D21</f>
        <v>21</v>
      </c>
      <c r="G53" s="14">
        <f>Hitung!X21</f>
        <v>1</v>
      </c>
      <c r="H53" s="25">
        <f>Hitung!$M$5-IF($G53=1,$F53,0)+IF($B53=1,$F53,0)</f>
        <v>84</v>
      </c>
      <c r="I53" s="25">
        <f>Hitung!$M$6-IF($G53=2,$F53,0)+IF($B53=2,$F53,0)</f>
        <v>21</v>
      </c>
      <c r="J53" s="14">
        <f>Hitung!$M$7-IF($G53=3,$F53,0)+IF($B53=3,$F53,0)</f>
        <v>42</v>
      </c>
      <c r="K53" s="14">
        <f>Hitung!$M$8-IF($G53=4,$F53,0)+IF($B53=4,$F53,0)</f>
        <v>0</v>
      </c>
      <c r="L53" s="14">
        <f>Hitung!$M$9-IF($G53=5,$F53,0)+IF($B53=5,$F53,0)</f>
        <v>0</v>
      </c>
      <c r="M53" s="14">
        <f>Hitung!$M$10-IF($G53=6,$F53,0)+IF($B53=6,$F53,0)</f>
        <v>61</v>
      </c>
      <c r="N53" s="14">
        <f>Hitung!$M$11-IF($G53=7,$F53,0)+IF($B53=7,$F53,0)</f>
        <v>0</v>
      </c>
      <c r="O53" s="14">
        <f>Hitung!$M$12-IF($G53=8,$F53,0)+IF($B53=8,$F53,0)</f>
        <v>0</v>
      </c>
      <c r="P53" s="14">
        <f t="shared" si="1"/>
        <v>21</v>
      </c>
      <c r="Q53" s="14">
        <f t="shared" si="2"/>
        <v>0</v>
      </c>
      <c r="R53" s="14">
        <f t="shared" si="3"/>
        <v>61</v>
      </c>
      <c r="S53" s="14">
        <f t="shared" si="4"/>
        <v>61</v>
      </c>
      <c r="T53" s="14">
        <f t="shared" si="5"/>
        <v>61</v>
      </c>
      <c r="U53" s="14">
        <f t="shared" si="6"/>
        <v>0</v>
      </c>
      <c r="V53" s="14">
        <f t="shared" si="7"/>
        <v>0</v>
      </c>
      <c r="W53" s="14">
        <f t="shared" si="8"/>
        <v>0</v>
      </c>
      <c r="X53" s="14">
        <f t="array" ref="X53">IF(H53=0,0,Hitung!$D$5*IF(Hitung!$C$5="Conquest",INDEX($AL$5:$AL$705,P53+H53+1)-INDEX($AL$5:$AL$705,P53+1),INDEX($AM$5:$AM$705,P53+H53+1)-INDEX($AM$5:$AM$705,P53+1)))</f>
        <v>23940000</v>
      </c>
      <c r="Y53" s="14">
        <f t="array" ref="Y53">IF(I53=0,0,Hitung!$D$6*IF(Hitung!$C$6="Conquest",INDEX($AL$5:$AL$705,Q53+I53+1)-INDEX($AL$5:$AL$705,Q53+1),INDEX($AM$5:$AM$705,Q53+I53+1)-INDEX($AM$5:$AM$705,Q53+1)))</f>
        <v>8400000</v>
      </c>
      <c r="Z53" s="14">
        <f t="array" ref="Z53">IF(J53=0,0,Hitung!$D$7*IF(Hitung!$C$7="Conquest",INDEX($AL$5:$AL$705,R53+J53+1)-INDEX($AL$5:$AL$705,R53+1),INDEX($AM$5:$AM$705,R53+J53+1)-INDEX($AM$5:$AM$705,R53+1)))</f>
        <v>6660000</v>
      </c>
      <c r="AA53" s="14">
        <f t="array" ref="AA53">IF(K53=0,0,Hitung!$D$8*IF(Hitung!$C$8="Conquest",INDEX($AL$5:$AL$705,S53+K53+1)-INDEX($AL$5:$AL$705,S53+1),INDEX($AM$5:$AM$705,S53+K53+1)-INDEX($AM$5:$AM$705,S53+1)))</f>
        <v>0</v>
      </c>
      <c r="AB53" s="14">
        <f t="array" ref="AB53">IF(L53=0,0,Hitung!$D$9*IF(Hitung!$C$9="Conquest",INDEX($AL$5:$AL$705,T53+L53+1)-INDEX($AL$5:$AL$705,T53+1),INDEX($AM$5:$AM$705,T53+L53+1)-INDEX($AM$5:$AM$705,T53+1)))</f>
        <v>0</v>
      </c>
      <c r="AC53" s="14">
        <f t="array" ref="AC53">IF(M53=0,0,Hitung!$D$10*IF(Hitung!$C$10="Conquest",INDEX($AL$5:$AL$705,U53+M53+1)-INDEX($AL$5:$AL$705,U53+1),INDEX($AM$5:$AM$705,U53+M53+1)-INDEX($AM$5:$AM$705,U53+1)))</f>
        <v>28800000</v>
      </c>
      <c r="AD53" s="14">
        <f t="array" ref="AD53">IF(N53=0,0,Hitung!$D$11*IF(Hitung!$C$11="Conquest",INDEX($AL$5:$AL$705,V53+N53+1)-INDEX($AL$5:$AL$705,V53+1),INDEX($AM$5:$AM$705,V53+N53+1)-INDEX($AM$5:$AM$705,V53+1)))</f>
        <v>0</v>
      </c>
      <c r="AE53" s="14">
        <f t="array" ref="AE53">IF(O53=0,0,Hitung!$D$12*IF(Hitung!$C$12="Conquest",INDEX($AL$5:$AL$705,W53+O53+1)-INDEX($AL$5:$AL$705,W53+1),INDEX($AM$5:$AM$705,W53+O53+1)-INDEX($AM$5:$AM$705,W53+1)))</f>
        <v>0</v>
      </c>
      <c r="AF53" s="14">
        <f t="shared" si="9"/>
        <v>67800000</v>
      </c>
      <c r="AG53" s="14">
        <f>IF(E53=1,AF53-Hitung!$AO$13,0)</f>
        <v>2100000</v>
      </c>
      <c r="AH53" s="73">
        <f>IF(E53=1,Hitung!E6-Hitung!B21,0)</f>
        <v>598</v>
      </c>
      <c r="AI53" s="14">
        <f t="shared" si="10"/>
        <v>3511.705686</v>
      </c>
      <c r="AK53" s="14">
        <v>48.0</v>
      </c>
      <c r="AL53" s="14">
        <f>AL52+SUMIFS(Setting!$E$30:$E$39,Setting!$A$30:$A$39,AL$4,Setting!$C$30:$C$39,"&lt;="&amp;($AK53-1),Setting!$D$30:$D$39,"&gt;="&amp;($AK53-1))</f>
        <v>48</v>
      </c>
      <c r="AM53" s="14">
        <f>AM52+SUMIFS(Setting!$E$30:$E$39,Setting!$A$30:$A$39,AM$4,Setting!$C$30:$C$39,"&lt;="&amp;($AK53-1),Setting!$D$30:$D$39,"&gt;="&amp;($AK53-1))</f>
        <v>48</v>
      </c>
    </row>
    <row r="54" ht="15.75" customHeight="1">
      <c r="A54" s="14">
        <v>5.0</v>
      </c>
      <c r="B54" s="14">
        <v>3.0</v>
      </c>
      <c r="C54" s="14" t="str">
        <f>Hitung!A21</f>
        <v>Cicero</v>
      </c>
      <c r="D54" s="14" t="str">
        <f>Hitung!B7</f>
        <v>S1</v>
      </c>
      <c r="E54" s="14">
        <f>IF(AND(C54&lt;&gt;"",D54&lt;&gt;"",Hitung!B21&gt;0,Hitung!E7&gt;Hitung!B21,G54&lt;&gt;B54,F54&gt;0),1,0)</f>
        <v>1</v>
      </c>
      <c r="F54" s="25">
        <f>Hitung!D21</f>
        <v>21</v>
      </c>
      <c r="G54" s="14">
        <f>Hitung!X21</f>
        <v>1</v>
      </c>
      <c r="H54" s="25">
        <f>Hitung!$M$5-IF($G54=1,$F54,0)+IF($B54=1,$F54,0)</f>
        <v>84</v>
      </c>
      <c r="I54" s="14">
        <f>Hitung!$M$6-IF($G54=2,$F54,0)+IF($B54=2,$F54,0)</f>
        <v>0</v>
      </c>
      <c r="J54" s="25">
        <f>Hitung!$M$7-IF($G54=3,$F54,0)+IF($B54=3,$F54,0)</f>
        <v>63</v>
      </c>
      <c r="K54" s="14">
        <f>Hitung!$M$8-IF($G54=4,$F54,0)+IF($B54=4,$F54,0)</f>
        <v>0</v>
      </c>
      <c r="L54" s="14">
        <f>Hitung!$M$9-IF($G54=5,$F54,0)+IF($B54=5,$F54,0)</f>
        <v>0</v>
      </c>
      <c r="M54" s="14">
        <f>Hitung!$M$10-IF($G54=6,$F54,0)+IF($B54=6,$F54,0)</f>
        <v>61</v>
      </c>
      <c r="N54" s="14">
        <f>Hitung!$M$11-IF($G54=7,$F54,0)+IF($B54=7,$F54,0)</f>
        <v>0</v>
      </c>
      <c r="O54" s="14">
        <f>Hitung!$M$12-IF($G54=8,$F54,0)+IF($B54=8,$F54,0)</f>
        <v>0</v>
      </c>
      <c r="P54" s="14">
        <f t="shared" si="1"/>
        <v>0</v>
      </c>
      <c r="Q54" s="14">
        <f t="shared" si="2"/>
        <v>0</v>
      </c>
      <c r="R54" s="14">
        <f t="shared" si="3"/>
        <v>61</v>
      </c>
      <c r="S54" s="14">
        <f t="shared" si="4"/>
        <v>61</v>
      </c>
      <c r="T54" s="14">
        <f t="shared" si="5"/>
        <v>61</v>
      </c>
      <c r="U54" s="14">
        <f t="shared" si="6"/>
        <v>0</v>
      </c>
      <c r="V54" s="14">
        <f t="shared" si="7"/>
        <v>0</v>
      </c>
      <c r="W54" s="14">
        <f t="shared" si="8"/>
        <v>0</v>
      </c>
      <c r="X54" s="14">
        <f t="array" ref="X54">IF(H54=0,0,Hitung!$D$5*IF(Hitung!$C$5="Conquest",INDEX($AL$5:$AL$705,P54+H54+1)-INDEX($AL$5:$AL$705,P54+1),INDEX($AM$5:$AM$705,P54+H54+1)-INDEX($AM$5:$AM$705,P54+1)))</f>
        <v>25200000</v>
      </c>
      <c r="Y54" s="14">
        <f t="array" ref="Y54">IF(I54=0,0,Hitung!$D$6*IF(Hitung!$C$6="Conquest",INDEX($AL$5:$AL$705,Q54+I54+1)-INDEX($AL$5:$AL$705,Q54+1),INDEX($AM$5:$AM$705,Q54+I54+1)-INDEX($AM$5:$AM$705,Q54+1)))</f>
        <v>0</v>
      </c>
      <c r="Z54" s="14">
        <f t="array" ref="Z54">IF(J54=0,0,Hitung!$D$7*IF(Hitung!$C$7="Conquest",INDEX($AL$5:$AL$705,R54+J54+1)-INDEX($AL$5:$AL$705,R54+1),INDEX($AM$5:$AM$705,R54+J54+1)-INDEX($AM$5:$AM$705,R54+1)))</f>
        <v>7920000</v>
      </c>
      <c r="AA54" s="14">
        <f t="array" ref="AA54">IF(K54=0,0,Hitung!$D$8*IF(Hitung!$C$8="Conquest",INDEX($AL$5:$AL$705,S54+K54+1)-INDEX($AL$5:$AL$705,S54+1),INDEX($AM$5:$AM$705,S54+K54+1)-INDEX($AM$5:$AM$705,S54+1)))</f>
        <v>0</v>
      </c>
      <c r="AB54" s="14">
        <f t="array" ref="AB54">IF(L54=0,0,Hitung!$D$9*IF(Hitung!$C$9="Conquest",INDEX($AL$5:$AL$705,T54+L54+1)-INDEX($AL$5:$AL$705,T54+1),INDEX($AM$5:$AM$705,T54+L54+1)-INDEX($AM$5:$AM$705,T54+1)))</f>
        <v>0</v>
      </c>
      <c r="AC54" s="14">
        <f t="array" ref="AC54">IF(M54=0,0,Hitung!$D$10*IF(Hitung!$C$10="Conquest",INDEX($AL$5:$AL$705,U54+M54+1)-INDEX($AL$5:$AL$705,U54+1),INDEX($AM$5:$AM$705,U54+M54+1)-INDEX($AM$5:$AM$705,U54+1)))</f>
        <v>28800000</v>
      </c>
      <c r="AD54" s="14">
        <f t="array" ref="AD54">IF(N54=0,0,Hitung!$D$11*IF(Hitung!$C$11="Conquest",INDEX($AL$5:$AL$705,V54+N54+1)-INDEX($AL$5:$AL$705,V54+1),INDEX($AM$5:$AM$705,V54+N54+1)-INDEX($AM$5:$AM$705,V54+1)))</f>
        <v>0</v>
      </c>
      <c r="AE54" s="14">
        <f t="array" ref="AE54">IF(O54=0,0,Hitung!$D$12*IF(Hitung!$C$12="Conquest",INDEX($AL$5:$AL$705,W54+O54+1)-INDEX($AL$5:$AL$705,W54+1),INDEX($AM$5:$AM$705,W54+O54+1)-INDEX($AM$5:$AM$705,W54+1)))</f>
        <v>0</v>
      </c>
      <c r="AF54" s="14">
        <f t="shared" si="9"/>
        <v>61920000</v>
      </c>
      <c r="AG54" s="14">
        <f>IF(E54=1,AF54-Hitung!$AO$13,0)</f>
        <v>-3780000</v>
      </c>
      <c r="AH54" s="73">
        <f>IF(E54=1,Hitung!E7-Hitung!B21,0)</f>
        <v>98</v>
      </c>
      <c r="AI54" s="14">
        <f t="shared" si="10"/>
        <v>0</v>
      </c>
      <c r="AK54" s="14">
        <v>49.0</v>
      </c>
      <c r="AL54" s="14">
        <f>AL53+SUMIFS(Setting!$E$30:$E$39,Setting!$A$30:$A$39,AL$4,Setting!$C$30:$C$39,"&lt;="&amp;($AK54-1),Setting!$D$30:$D$39,"&gt;="&amp;($AK54-1))</f>
        <v>49</v>
      </c>
      <c r="AM54" s="14">
        <f>AM53+SUMIFS(Setting!$E$30:$E$39,Setting!$A$30:$A$39,AM$4,Setting!$C$30:$C$39,"&lt;="&amp;($AK54-1),Setting!$D$30:$D$39,"&gt;="&amp;($AK54-1))</f>
        <v>49</v>
      </c>
    </row>
    <row r="55" ht="15.75" customHeight="1">
      <c r="A55" s="14">
        <v>5.0</v>
      </c>
      <c r="B55" s="14">
        <v>4.0</v>
      </c>
      <c r="C55" s="14" t="str">
        <f>Hitung!A21</f>
        <v>Cicero</v>
      </c>
      <c r="D55" s="14" t="str">
        <f>Hitung!B8</f>
        <v>S2</v>
      </c>
      <c r="E55" s="14">
        <f>IF(AND(C55&lt;&gt;"",D55&lt;&gt;"",Hitung!B21&gt;0,Hitung!E8&gt;Hitung!B21,G55&lt;&gt;B55,F55&gt;0),1,0)</f>
        <v>1</v>
      </c>
      <c r="F55" s="25">
        <f>Hitung!D21</f>
        <v>21</v>
      </c>
      <c r="G55" s="14">
        <f>Hitung!X21</f>
        <v>1</v>
      </c>
      <c r="H55" s="25">
        <f>Hitung!$M$5-IF($G55=1,$F55,0)+IF($B55=1,$F55,0)</f>
        <v>84</v>
      </c>
      <c r="I55" s="14">
        <f>Hitung!$M$6-IF($G55=2,$F55,0)+IF($B55=2,$F55,0)</f>
        <v>0</v>
      </c>
      <c r="J55" s="14">
        <f>Hitung!$M$7-IF($G55=3,$F55,0)+IF($B55=3,$F55,0)</f>
        <v>42</v>
      </c>
      <c r="K55" s="25">
        <f>Hitung!$M$8-IF($G55=4,$F55,0)+IF($B55=4,$F55,0)</f>
        <v>21</v>
      </c>
      <c r="L55" s="14">
        <f>Hitung!$M$9-IF($G55=5,$F55,0)+IF($B55=5,$F55,0)</f>
        <v>0</v>
      </c>
      <c r="M55" s="14">
        <f>Hitung!$M$10-IF($G55=6,$F55,0)+IF($B55=6,$F55,0)</f>
        <v>61</v>
      </c>
      <c r="N55" s="14">
        <f>Hitung!$M$11-IF($G55=7,$F55,0)+IF($B55=7,$F55,0)</f>
        <v>0</v>
      </c>
      <c r="O55" s="14">
        <f>Hitung!$M$12-IF($G55=8,$F55,0)+IF($B55=8,$F55,0)</f>
        <v>0</v>
      </c>
      <c r="P55" s="14">
        <f t="shared" si="1"/>
        <v>0</v>
      </c>
      <c r="Q55" s="14">
        <f t="shared" si="2"/>
        <v>0</v>
      </c>
      <c r="R55" s="14">
        <f t="shared" si="3"/>
        <v>82</v>
      </c>
      <c r="S55" s="14">
        <f t="shared" si="4"/>
        <v>61</v>
      </c>
      <c r="T55" s="14">
        <f t="shared" si="5"/>
        <v>61</v>
      </c>
      <c r="U55" s="14">
        <f t="shared" si="6"/>
        <v>0</v>
      </c>
      <c r="V55" s="14">
        <f t="shared" si="7"/>
        <v>0</v>
      </c>
      <c r="W55" s="14">
        <f t="shared" si="8"/>
        <v>0</v>
      </c>
      <c r="X55" s="14">
        <f t="array" ref="X55">IF(H55=0,0,Hitung!$D$5*IF(Hitung!$C$5="Conquest",INDEX($AL$5:$AL$705,P55+H55+1)-INDEX($AL$5:$AL$705,P55+1),INDEX($AM$5:$AM$705,P55+H55+1)-INDEX($AM$5:$AM$705,P55+1)))</f>
        <v>25200000</v>
      </c>
      <c r="Y55" s="14">
        <f t="array" ref="Y55">IF(I55=0,0,Hitung!$D$6*IF(Hitung!$C$6="Conquest",INDEX($AL$5:$AL$705,Q55+I55+1)-INDEX($AL$5:$AL$705,Q55+1),INDEX($AM$5:$AM$705,Q55+I55+1)-INDEX($AM$5:$AM$705,Q55+1)))</f>
        <v>0</v>
      </c>
      <c r="Z55" s="14">
        <f t="array" ref="Z55">IF(J55=0,0,Hitung!$D$7*IF(Hitung!$C$7="Conquest",INDEX($AL$5:$AL$705,R55+J55+1)-INDEX($AL$5:$AL$705,R55+1),INDEX($AM$5:$AM$705,R55+J55+1)-INDEX($AM$5:$AM$705,R55+1)))</f>
        <v>3600000</v>
      </c>
      <c r="AA55" s="14">
        <f t="array" ref="AA55">IF(K55=0,0,Hitung!$D$8*IF(Hitung!$C$8="Conquest",INDEX($AL$5:$AL$705,S55+K55+1)-INDEX($AL$5:$AL$705,S55+1),INDEX($AM$5:$AM$705,S55+K55+1)-INDEX($AM$5:$AM$705,S55+1)))</f>
        <v>5184000</v>
      </c>
      <c r="AB55" s="14">
        <f t="array" ref="AB55">IF(L55=0,0,Hitung!$D$9*IF(Hitung!$C$9="Conquest",INDEX($AL$5:$AL$705,T55+L55+1)-INDEX($AL$5:$AL$705,T55+1),INDEX($AM$5:$AM$705,T55+L55+1)-INDEX($AM$5:$AM$705,T55+1)))</f>
        <v>0</v>
      </c>
      <c r="AC55" s="14">
        <f t="array" ref="AC55">IF(M55=0,0,Hitung!$D$10*IF(Hitung!$C$10="Conquest",INDEX($AL$5:$AL$705,U55+M55+1)-INDEX($AL$5:$AL$705,U55+1),INDEX($AM$5:$AM$705,U55+M55+1)-INDEX($AM$5:$AM$705,U55+1)))</f>
        <v>28800000</v>
      </c>
      <c r="AD55" s="14">
        <f t="array" ref="AD55">IF(N55=0,0,Hitung!$D$11*IF(Hitung!$C$11="Conquest",INDEX($AL$5:$AL$705,V55+N55+1)-INDEX($AL$5:$AL$705,V55+1),INDEX($AM$5:$AM$705,V55+N55+1)-INDEX($AM$5:$AM$705,V55+1)))</f>
        <v>0</v>
      </c>
      <c r="AE55" s="14">
        <f t="array" ref="AE55">IF(O55=0,0,Hitung!$D$12*IF(Hitung!$C$12="Conquest",INDEX($AL$5:$AL$705,W55+O55+1)-INDEX($AL$5:$AL$705,W55+1),INDEX($AM$5:$AM$705,W55+O55+1)-INDEX($AM$5:$AM$705,W55+1)))</f>
        <v>0</v>
      </c>
      <c r="AF55" s="14">
        <f t="shared" si="9"/>
        <v>62784000</v>
      </c>
      <c r="AG55" s="14">
        <f>IF(E55=1,AF55-Hitung!$AO$13,0)</f>
        <v>-2916000</v>
      </c>
      <c r="AH55" s="73">
        <f>IF(E55=1,Hitung!E8-Hitung!B21,0)</f>
        <v>398</v>
      </c>
      <c r="AI55" s="14">
        <f t="shared" si="10"/>
        <v>0</v>
      </c>
      <c r="AK55" s="14">
        <v>50.0</v>
      </c>
      <c r="AL55" s="14">
        <f>AL54+SUMIFS(Setting!$E$30:$E$39,Setting!$A$30:$A$39,AL$4,Setting!$C$30:$C$39,"&lt;="&amp;($AK55-1),Setting!$D$30:$D$39,"&gt;="&amp;($AK55-1))</f>
        <v>50</v>
      </c>
      <c r="AM55" s="14">
        <f>AM54+SUMIFS(Setting!$E$30:$E$39,Setting!$A$30:$A$39,AM$4,Setting!$C$30:$C$39,"&lt;="&amp;($AK55-1),Setting!$D$30:$D$39,"&gt;="&amp;($AK55-1))</f>
        <v>50</v>
      </c>
    </row>
    <row r="56" ht="15.75" customHeight="1">
      <c r="A56" s="14">
        <v>5.0</v>
      </c>
      <c r="B56" s="14">
        <v>5.0</v>
      </c>
      <c r="C56" s="14" t="str">
        <f>Hitung!A21</f>
        <v>Cicero</v>
      </c>
      <c r="D56" s="14" t="str">
        <f>Hitung!B9</f>
        <v>S3</v>
      </c>
      <c r="E56" s="14">
        <f>IF(AND(C56&lt;&gt;"",D56&lt;&gt;"",Hitung!B21&gt;0,Hitung!E9&gt;Hitung!B21,G56&lt;&gt;B56,F56&gt;0),1,0)</f>
        <v>1</v>
      </c>
      <c r="F56" s="25">
        <f>Hitung!D21</f>
        <v>21</v>
      </c>
      <c r="G56" s="14">
        <f>Hitung!X21</f>
        <v>1</v>
      </c>
      <c r="H56" s="25">
        <f>Hitung!$M$5-IF($G56=1,$F56,0)+IF($B56=1,$F56,0)</f>
        <v>84</v>
      </c>
      <c r="I56" s="14">
        <f>Hitung!$M$6-IF($G56=2,$F56,0)+IF($B56=2,$F56,0)</f>
        <v>0</v>
      </c>
      <c r="J56" s="14">
        <f>Hitung!$M$7-IF($G56=3,$F56,0)+IF($B56=3,$F56,0)</f>
        <v>42</v>
      </c>
      <c r="K56" s="14">
        <f>Hitung!$M$8-IF($G56=4,$F56,0)+IF($B56=4,$F56,0)</f>
        <v>0</v>
      </c>
      <c r="L56" s="25">
        <f>Hitung!$M$9-IF($G56=5,$F56,0)+IF($B56=5,$F56,0)</f>
        <v>21</v>
      </c>
      <c r="M56" s="14">
        <f>Hitung!$M$10-IF($G56=6,$F56,0)+IF($B56=6,$F56,0)</f>
        <v>61</v>
      </c>
      <c r="N56" s="14">
        <f>Hitung!$M$11-IF($G56=7,$F56,0)+IF($B56=7,$F56,0)</f>
        <v>0</v>
      </c>
      <c r="O56" s="14">
        <f>Hitung!$M$12-IF($G56=8,$F56,0)+IF($B56=8,$F56,0)</f>
        <v>0</v>
      </c>
      <c r="P56" s="14">
        <f t="shared" si="1"/>
        <v>0</v>
      </c>
      <c r="Q56" s="14">
        <f t="shared" si="2"/>
        <v>0</v>
      </c>
      <c r="R56" s="14">
        <f t="shared" si="3"/>
        <v>82</v>
      </c>
      <c r="S56" s="14">
        <f t="shared" si="4"/>
        <v>82</v>
      </c>
      <c r="T56" s="14">
        <f t="shared" si="5"/>
        <v>61</v>
      </c>
      <c r="U56" s="14">
        <f t="shared" si="6"/>
        <v>0</v>
      </c>
      <c r="V56" s="14">
        <f t="shared" si="7"/>
        <v>0</v>
      </c>
      <c r="W56" s="14">
        <f t="shared" si="8"/>
        <v>0</v>
      </c>
      <c r="X56" s="14">
        <f t="array" ref="X56">IF(H56=0,0,Hitung!$D$5*IF(Hitung!$C$5="Conquest",INDEX($AL$5:$AL$705,P56+H56+1)-INDEX($AL$5:$AL$705,P56+1),INDEX($AM$5:$AM$705,P56+H56+1)-INDEX($AM$5:$AM$705,P56+1)))</f>
        <v>25200000</v>
      </c>
      <c r="Y56" s="14">
        <f t="array" ref="Y56">IF(I56=0,0,Hitung!$D$6*IF(Hitung!$C$6="Conquest",INDEX($AL$5:$AL$705,Q56+I56+1)-INDEX($AL$5:$AL$705,Q56+1),INDEX($AM$5:$AM$705,Q56+I56+1)-INDEX($AM$5:$AM$705,Q56+1)))</f>
        <v>0</v>
      </c>
      <c r="Z56" s="14">
        <f t="array" ref="Z56">IF(J56=0,0,Hitung!$D$7*IF(Hitung!$C$7="Conquest",INDEX($AL$5:$AL$705,R56+J56+1)-INDEX($AL$5:$AL$705,R56+1),INDEX($AM$5:$AM$705,R56+J56+1)-INDEX($AM$5:$AM$705,R56+1)))</f>
        <v>3600000</v>
      </c>
      <c r="AA56" s="14">
        <f t="array" ref="AA56">IF(K56=0,0,Hitung!$D$8*IF(Hitung!$C$8="Conquest",INDEX($AL$5:$AL$705,S56+K56+1)-INDEX($AL$5:$AL$705,S56+1),INDEX($AM$5:$AM$705,S56+K56+1)-INDEX($AM$5:$AM$705,S56+1)))</f>
        <v>0</v>
      </c>
      <c r="AB56" s="14">
        <f t="array" ref="AB56">IF(L56=0,0,Hitung!$D$9*IF(Hitung!$C$9="Conquest",INDEX($AL$5:$AL$705,T56+L56+1)-INDEX($AL$5:$AL$705,T56+1),INDEX($AM$5:$AM$705,T56+L56+1)-INDEX($AM$5:$AM$705,T56+1)))</f>
        <v>6048000</v>
      </c>
      <c r="AC56" s="14">
        <f t="array" ref="AC56">IF(M56=0,0,Hitung!$D$10*IF(Hitung!$C$10="Conquest",INDEX($AL$5:$AL$705,U56+M56+1)-INDEX($AL$5:$AL$705,U56+1),INDEX($AM$5:$AM$705,U56+M56+1)-INDEX($AM$5:$AM$705,U56+1)))</f>
        <v>28800000</v>
      </c>
      <c r="AD56" s="14">
        <f t="array" ref="AD56">IF(N56=0,0,Hitung!$D$11*IF(Hitung!$C$11="Conquest",INDEX($AL$5:$AL$705,V56+N56+1)-INDEX($AL$5:$AL$705,V56+1),INDEX($AM$5:$AM$705,V56+N56+1)-INDEX($AM$5:$AM$705,V56+1)))</f>
        <v>0</v>
      </c>
      <c r="AE56" s="14">
        <f t="array" ref="AE56">IF(O56=0,0,Hitung!$D$12*IF(Hitung!$C$12="Conquest",INDEX($AL$5:$AL$705,W56+O56+1)-INDEX($AL$5:$AL$705,W56+1),INDEX($AM$5:$AM$705,W56+O56+1)-INDEX($AM$5:$AM$705,W56+1)))</f>
        <v>0</v>
      </c>
      <c r="AF56" s="14">
        <f t="shared" si="9"/>
        <v>63648000</v>
      </c>
      <c r="AG56" s="14">
        <f>IF(E56=1,AF56-Hitung!$AO$13,0)</f>
        <v>-2052000</v>
      </c>
      <c r="AH56" s="73">
        <f>IF(E56=1,Hitung!E9-Hitung!B21,0)</f>
        <v>698</v>
      </c>
      <c r="AI56" s="14">
        <f t="shared" si="10"/>
        <v>0</v>
      </c>
      <c r="AK56" s="14">
        <v>51.0</v>
      </c>
      <c r="AL56" s="14">
        <f>AL55+SUMIFS(Setting!$E$30:$E$39,Setting!$A$30:$A$39,AL$4,Setting!$C$30:$C$39,"&lt;="&amp;($AK56-1),Setting!$D$30:$D$39,"&gt;="&amp;($AK56-1))</f>
        <v>51</v>
      </c>
      <c r="AM56" s="14">
        <f>AM55+SUMIFS(Setting!$E$30:$E$39,Setting!$A$30:$A$39,AM$4,Setting!$C$30:$C$39,"&lt;="&amp;($AK56-1),Setting!$D$30:$D$39,"&gt;="&amp;($AK56-1))</f>
        <v>51</v>
      </c>
    </row>
    <row r="57" ht="15.75" customHeight="1">
      <c r="A57" s="14">
        <v>5.0</v>
      </c>
      <c r="B57" s="14">
        <v>6.0</v>
      </c>
      <c r="C57" s="14" t="str">
        <f>Hitung!A21</f>
        <v>Cicero</v>
      </c>
      <c r="D57" s="14" t="str">
        <f>Hitung!B10</f>
        <v>S4</v>
      </c>
      <c r="E57" s="14">
        <f>IF(AND(C57&lt;&gt;"",D57&lt;&gt;"",Hitung!B21&gt;0,Hitung!E10&gt;Hitung!B21,G57&lt;&gt;B57,F57&gt;0),1,0)</f>
        <v>1</v>
      </c>
      <c r="F57" s="25">
        <f>Hitung!D21</f>
        <v>21</v>
      </c>
      <c r="G57" s="14">
        <f>Hitung!X21</f>
        <v>1</v>
      </c>
      <c r="H57" s="25">
        <f>Hitung!$M$5-IF($G57=1,$F57,0)+IF($B57=1,$F57,0)</f>
        <v>84</v>
      </c>
      <c r="I57" s="14">
        <f>Hitung!$M$6-IF($G57=2,$F57,0)+IF($B57=2,$F57,0)</f>
        <v>0</v>
      </c>
      <c r="J57" s="14">
        <f>Hitung!$M$7-IF($G57=3,$F57,0)+IF($B57=3,$F57,0)</f>
        <v>42</v>
      </c>
      <c r="K57" s="14">
        <f>Hitung!$M$8-IF($G57=4,$F57,0)+IF($B57=4,$F57,0)</f>
        <v>0</v>
      </c>
      <c r="L57" s="14">
        <f>Hitung!$M$9-IF($G57=5,$F57,0)+IF($B57=5,$F57,0)</f>
        <v>0</v>
      </c>
      <c r="M57" s="25">
        <f>Hitung!$M$10-IF($G57=6,$F57,0)+IF($B57=6,$F57,0)</f>
        <v>82</v>
      </c>
      <c r="N57" s="14">
        <f>Hitung!$M$11-IF($G57=7,$F57,0)+IF($B57=7,$F57,0)</f>
        <v>0</v>
      </c>
      <c r="O57" s="14">
        <f>Hitung!$M$12-IF($G57=8,$F57,0)+IF($B57=8,$F57,0)</f>
        <v>0</v>
      </c>
      <c r="P57" s="14">
        <f t="shared" si="1"/>
        <v>0</v>
      </c>
      <c r="Q57" s="14">
        <f t="shared" si="2"/>
        <v>0</v>
      </c>
      <c r="R57" s="14">
        <f t="shared" si="3"/>
        <v>82</v>
      </c>
      <c r="S57" s="14">
        <f t="shared" si="4"/>
        <v>82</v>
      </c>
      <c r="T57" s="14">
        <f t="shared" si="5"/>
        <v>82</v>
      </c>
      <c r="U57" s="14">
        <f t="shared" si="6"/>
        <v>0</v>
      </c>
      <c r="V57" s="14">
        <f t="shared" si="7"/>
        <v>0</v>
      </c>
      <c r="W57" s="14">
        <f t="shared" si="8"/>
        <v>0</v>
      </c>
      <c r="X57" s="14">
        <f t="array" ref="X57">IF(H57=0,0,Hitung!$D$5*IF(Hitung!$C$5="Conquest",INDEX($AL$5:$AL$705,P57+H57+1)-INDEX($AL$5:$AL$705,P57+1),INDEX($AM$5:$AM$705,P57+H57+1)-INDEX($AM$5:$AM$705,P57+1)))</f>
        <v>25200000</v>
      </c>
      <c r="Y57" s="14">
        <f t="array" ref="Y57">IF(I57=0,0,Hitung!$D$6*IF(Hitung!$C$6="Conquest",INDEX($AL$5:$AL$705,Q57+I57+1)-INDEX($AL$5:$AL$705,Q57+1),INDEX($AM$5:$AM$705,Q57+I57+1)-INDEX($AM$5:$AM$705,Q57+1)))</f>
        <v>0</v>
      </c>
      <c r="Z57" s="14">
        <f t="array" ref="Z57">IF(J57=0,0,Hitung!$D$7*IF(Hitung!$C$7="Conquest",INDEX($AL$5:$AL$705,R57+J57+1)-INDEX($AL$5:$AL$705,R57+1),INDEX($AM$5:$AM$705,R57+J57+1)-INDEX($AM$5:$AM$705,R57+1)))</f>
        <v>3600000</v>
      </c>
      <c r="AA57" s="14">
        <f t="array" ref="AA57">IF(K57=0,0,Hitung!$D$8*IF(Hitung!$C$8="Conquest",INDEX($AL$5:$AL$705,S57+K57+1)-INDEX($AL$5:$AL$705,S57+1),INDEX($AM$5:$AM$705,S57+K57+1)-INDEX($AM$5:$AM$705,S57+1)))</f>
        <v>0</v>
      </c>
      <c r="AB57" s="14">
        <f t="array" ref="AB57">IF(L57=0,0,Hitung!$D$9*IF(Hitung!$C$9="Conquest",INDEX($AL$5:$AL$705,T57+L57+1)-INDEX($AL$5:$AL$705,T57+1),INDEX($AM$5:$AM$705,T57+L57+1)-INDEX($AM$5:$AM$705,T57+1)))</f>
        <v>0</v>
      </c>
      <c r="AC57" s="14">
        <f t="array" ref="AC57">IF(M57=0,0,Hitung!$D$10*IF(Hitung!$C$10="Conquest",INDEX($AL$5:$AL$705,U57+M57+1)-INDEX($AL$5:$AL$705,U57+1),INDEX($AM$5:$AM$705,U57+M57+1)-INDEX($AM$5:$AM$705,U57+1)))</f>
        <v>35712000</v>
      </c>
      <c r="AD57" s="14">
        <f t="array" ref="AD57">IF(N57=0,0,Hitung!$D$11*IF(Hitung!$C$11="Conquest",INDEX($AL$5:$AL$705,V57+N57+1)-INDEX($AL$5:$AL$705,V57+1),INDEX($AM$5:$AM$705,V57+N57+1)-INDEX($AM$5:$AM$705,V57+1)))</f>
        <v>0</v>
      </c>
      <c r="AE57" s="14">
        <f t="array" ref="AE57">IF(O57=0,0,Hitung!$D$12*IF(Hitung!$C$12="Conquest",INDEX($AL$5:$AL$705,W57+O57+1)-INDEX($AL$5:$AL$705,W57+1),INDEX($AM$5:$AM$705,W57+O57+1)-INDEX($AM$5:$AM$705,W57+1)))</f>
        <v>0</v>
      </c>
      <c r="AF57" s="14">
        <f t="shared" si="9"/>
        <v>64512000</v>
      </c>
      <c r="AG57" s="14">
        <f>IF(E57=1,AF57-Hitung!$AO$13,0)</f>
        <v>-1188000</v>
      </c>
      <c r="AH57" s="73">
        <f>IF(E57=1,Hitung!E10-Hitung!B21,0)</f>
        <v>998</v>
      </c>
      <c r="AI57" s="14">
        <f t="shared" si="10"/>
        <v>0</v>
      </c>
      <c r="AK57" s="14">
        <v>52.0</v>
      </c>
      <c r="AL57" s="14">
        <f>AL56+SUMIFS(Setting!$E$30:$E$39,Setting!$A$30:$A$39,AL$4,Setting!$C$30:$C$39,"&lt;="&amp;($AK57-1),Setting!$D$30:$D$39,"&gt;="&amp;($AK57-1))</f>
        <v>52</v>
      </c>
      <c r="AM57" s="14">
        <f>AM56+SUMIFS(Setting!$E$30:$E$39,Setting!$A$30:$A$39,AM$4,Setting!$C$30:$C$39,"&lt;="&amp;($AK57-1),Setting!$D$30:$D$39,"&gt;="&amp;($AK57-1))</f>
        <v>52</v>
      </c>
    </row>
    <row r="58" ht="15.75" customHeight="1">
      <c r="A58" s="14">
        <v>5.0</v>
      </c>
      <c r="B58" s="14">
        <v>7.0</v>
      </c>
      <c r="C58" s="14" t="str">
        <f>Hitung!A21</f>
        <v>Cicero</v>
      </c>
      <c r="D58" s="14" t="str">
        <f>Hitung!B11</f>
        <v/>
      </c>
      <c r="E58" s="14">
        <f>IF(AND(C58&lt;&gt;"",D58&lt;&gt;"",Hitung!B21&gt;0,Hitung!E11&gt;Hitung!B21,G58&lt;&gt;B58,F58&gt;0),1,0)</f>
        <v>0</v>
      </c>
      <c r="F58" s="25">
        <f>Hitung!D21</f>
        <v>21</v>
      </c>
      <c r="G58" s="14">
        <f>Hitung!X21</f>
        <v>1</v>
      </c>
      <c r="H58" s="25">
        <f>Hitung!$M$5-IF($G58=1,$F58,0)+IF($B58=1,$F58,0)</f>
        <v>84</v>
      </c>
      <c r="I58" s="14">
        <f>Hitung!$M$6-IF($G58=2,$F58,0)+IF($B58=2,$F58,0)</f>
        <v>0</v>
      </c>
      <c r="J58" s="14">
        <f>Hitung!$M$7-IF($G58=3,$F58,0)+IF($B58=3,$F58,0)</f>
        <v>42</v>
      </c>
      <c r="K58" s="14">
        <f>Hitung!$M$8-IF($G58=4,$F58,0)+IF($B58=4,$F58,0)</f>
        <v>0</v>
      </c>
      <c r="L58" s="14">
        <f>Hitung!$M$9-IF($G58=5,$F58,0)+IF($B58=5,$F58,0)</f>
        <v>0</v>
      </c>
      <c r="M58" s="14">
        <f>Hitung!$M$10-IF($G58=6,$F58,0)+IF($B58=6,$F58,0)</f>
        <v>61</v>
      </c>
      <c r="N58" s="25">
        <f>Hitung!$M$11-IF($G58=7,$F58,0)+IF($B58=7,$F58,0)</f>
        <v>21</v>
      </c>
      <c r="O58" s="14">
        <f>Hitung!$M$12-IF($G58=8,$F58,0)+IF($B58=8,$F58,0)</f>
        <v>0</v>
      </c>
      <c r="P58" s="14">
        <f t="shared" si="1"/>
        <v>0</v>
      </c>
      <c r="Q58" s="14">
        <f t="shared" si="2"/>
        <v>0</v>
      </c>
      <c r="R58" s="14">
        <f t="shared" si="3"/>
        <v>61</v>
      </c>
      <c r="S58" s="14">
        <f t="shared" si="4"/>
        <v>61</v>
      </c>
      <c r="T58" s="14">
        <f t="shared" si="5"/>
        <v>61</v>
      </c>
      <c r="U58" s="14">
        <f t="shared" si="6"/>
        <v>0</v>
      </c>
      <c r="V58" s="14">
        <f t="shared" si="7"/>
        <v>0</v>
      </c>
      <c r="W58" s="14">
        <f t="shared" si="8"/>
        <v>0</v>
      </c>
      <c r="X58" s="14">
        <f t="array" ref="X58">IF(H58=0,0,Hitung!$D$5*IF(Hitung!$C$5="Conquest",INDEX($AL$5:$AL$705,P58+H58+1)-INDEX($AL$5:$AL$705,P58+1),INDEX($AM$5:$AM$705,P58+H58+1)-INDEX($AM$5:$AM$705,P58+1)))</f>
        <v>25200000</v>
      </c>
      <c r="Y58" s="14">
        <f t="array" ref="Y58">IF(I58=0,0,Hitung!$D$6*IF(Hitung!$C$6="Conquest",INDEX($AL$5:$AL$705,Q58+I58+1)-INDEX($AL$5:$AL$705,Q58+1),INDEX($AM$5:$AM$705,Q58+I58+1)-INDEX($AM$5:$AM$705,Q58+1)))</f>
        <v>0</v>
      </c>
      <c r="Z58" s="14">
        <f t="array" ref="Z58">IF(J58=0,0,Hitung!$D$7*IF(Hitung!$C$7="Conquest",INDEX($AL$5:$AL$705,R58+J58+1)-INDEX($AL$5:$AL$705,R58+1),INDEX($AM$5:$AM$705,R58+J58+1)-INDEX($AM$5:$AM$705,R58+1)))</f>
        <v>6660000</v>
      </c>
      <c r="AA58" s="14">
        <f t="array" ref="AA58">IF(K58=0,0,Hitung!$D$8*IF(Hitung!$C$8="Conquest",INDEX($AL$5:$AL$705,S58+K58+1)-INDEX($AL$5:$AL$705,S58+1),INDEX($AM$5:$AM$705,S58+K58+1)-INDEX($AM$5:$AM$705,S58+1)))</f>
        <v>0</v>
      </c>
      <c r="AB58" s="14">
        <f t="array" ref="AB58">IF(L58=0,0,Hitung!$D$9*IF(Hitung!$C$9="Conquest",INDEX($AL$5:$AL$705,T58+L58+1)-INDEX($AL$5:$AL$705,T58+1),INDEX($AM$5:$AM$705,T58+L58+1)-INDEX($AM$5:$AM$705,T58+1)))</f>
        <v>0</v>
      </c>
      <c r="AC58" s="14">
        <f t="array" ref="AC58">IF(M58=0,0,Hitung!$D$10*IF(Hitung!$C$10="Conquest",INDEX($AL$5:$AL$705,U58+M58+1)-INDEX($AL$5:$AL$705,U58+1),INDEX($AM$5:$AM$705,U58+M58+1)-INDEX($AM$5:$AM$705,U58+1)))</f>
        <v>28800000</v>
      </c>
      <c r="AD58" s="14">
        <f t="array" ref="AD58">IF(N58=0,0,Hitung!$D$11*IF(Hitung!$C$11="Conquest",INDEX($AL$5:$AL$705,V58+N58+1)-INDEX($AL$5:$AL$705,V58+1),INDEX($AM$5:$AM$705,V58+N58+1)-INDEX($AM$5:$AM$705,V58+1)))</f>
        <v>0</v>
      </c>
      <c r="AE58" s="14">
        <f t="array" ref="AE58">IF(O58=0,0,Hitung!$D$12*IF(Hitung!$C$12="Conquest",INDEX($AL$5:$AL$705,W58+O58+1)-INDEX($AL$5:$AL$705,W58+1),INDEX($AM$5:$AM$705,W58+O58+1)-INDEX($AM$5:$AM$705,W58+1)))</f>
        <v>0</v>
      </c>
      <c r="AF58" s="14">
        <f t="shared" si="9"/>
        <v>60660000</v>
      </c>
      <c r="AG58" s="14">
        <f>IF(E58=1,AF58-Hitung!$AO$13,0)</f>
        <v>0</v>
      </c>
      <c r="AH58" s="14">
        <f>IF(E58=1,Hitung!E11-Hitung!B21,0)</f>
        <v>0</v>
      </c>
      <c r="AI58" s="14">
        <f t="shared" si="10"/>
        <v>0</v>
      </c>
      <c r="AK58" s="14">
        <v>53.0</v>
      </c>
      <c r="AL58" s="14">
        <f>AL57+SUMIFS(Setting!$E$30:$E$39,Setting!$A$30:$A$39,AL$4,Setting!$C$30:$C$39,"&lt;="&amp;($AK58-1),Setting!$D$30:$D$39,"&gt;="&amp;($AK58-1))</f>
        <v>53</v>
      </c>
      <c r="AM58" s="14">
        <f>AM57+SUMIFS(Setting!$E$30:$E$39,Setting!$A$30:$A$39,AM$4,Setting!$C$30:$C$39,"&lt;="&amp;($AK58-1),Setting!$D$30:$D$39,"&gt;="&amp;($AK58-1))</f>
        <v>53</v>
      </c>
    </row>
    <row r="59" ht="15.75" customHeight="1">
      <c r="A59" s="14">
        <v>5.0</v>
      </c>
      <c r="B59" s="14">
        <v>8.0</v>
      </c>
      <c r="C59" s="14" t="str">
        <f>Hitung!A21</f>
        <v>Cicero</v>
      </c>
      <c r="D59" s="14" t="str">
        <f>Hitung!B12</f>
        <v/>
      </c>
      <c r="E59" s="14">
        <f>IF(AND(C59&lt;&gt;"",D59&lt;&gt;"",Hitung!B21&gt;0,Hitung!E12&gt;Hitung!B21,G59&lt;&gt;B59,F59&gt;0),1,0)</f>
        <v>0</v>
      </c>
      <c r="F59" s="25">
        <f>Hitung!D21</f>
        <v>21</v>
      </c>
      <c r="G59" s="14">
        <f>Hitung!X21</f>
        <v>1</v>
      </c>
      <c r="H59" s="25">
        <f>Hitung!$M$5-IF($G59=1,$F59,0)+IF($B59=1,$F59,0)</f>
        <v>84</v>
      </c>
      <c r="I59" s="14">
        <f>Hitung!$M$6-IF($G59=2,$F59,0)+IF($B59=2,$F59,0)</f>
        <v>0</v>
      </c>
      <c r="J59" s="14">
        <f>Hitung!$M$7-IF($G59=3,$F59,0)+IF($B59=3,$F59,0)</f>
        <v>42</v>
      </c>
      <c r="K59" s="14">
        <f>Hitung!$M$8-IF($G59=4,$F59,0)+IF($B59=4,$F59,0)</f>
        <v>0</v>
      </c>
      <c r="L59" s="14">
        <f>Hitung!$M$9-IF($G59=5,$F59,0)+IF($B59=5,$F59,0)</f>
        <v>0</v>
      </c>
      <c r="M59" s="14">
        <f>Hitung!$M$10-IF($G59=6,$F59,0)+IF($B59=6,$F59,0)</f>
        <v>61</v>
      </c>
      <c r="N59" s="14">
        <f>Hitung!$M$11-IF($G59=7,$F59,0)+IF($B59=7,$F59,0)</f>
        <v>0</v>
      </c>
      <c r="O59" s="25">
        <f>Hitung!$M$12-IF($G59=8,$F59,0)+IF($B59=8,$F59,0)</f>
        <v>21</v>
      </c>
      <c r="P59" s="14">
        <f t="shared" si="1"/>
        <v>0</v>
      </c>
      <c r="Q59" s="14">
        <f t="shared" si="2"/>
        <v>0</v>
      </c>
      <c r="R59" s="14">
        <f t="shared" si="3"/>
        <v>61</v>
      </c>
      <c r="S59" s="14">
        <f t="shared" si="4"/>
        <v>61</v>
      </c>
      <c r="T59" s="14">
        <f t="shared" si="5"/>
        <v>61</v>
      </c>
      <c r="U59" s="14">
        <f t="shared" si="6"/>
        <v>0</v>
      </c>
      <c r="V59" s="14">
        <f t="shared" si="7"/>
        <v>0</v>
      </c>
      <c r="W59" s="14">
        <f t="shared" si="8"/>
        <v>0</v>
      </c>
      <c r="X59" s="14">
        <f t="array" ref="X59">IF(H59=0,0,Hitung!$D$5*IF(Hitung!$C$5="Conquest",INDEX($AL$5:$AL$705,P59+H59+1)-INDEX($AL$5:$AL$705,P59+1),INDEX($AM$5:$AM$705,P59+H59+1)-INDEX($AM$5:$AM$705,P59+1)))</f>
        <v>25200000</v>
      </c>
      <c r="Y59" s="14">
        <f t="array" ref="Y59">IF(I59=0,0,Hitung!$D$6*IF(Hitung!$C$6="Conquest",INDEX($AL$5:$AL$705,Q59+I59+1)-INDEX($AL$5:$AL$705,Q59+1),INDEX($AM$5:$AM$705,Q59+I59+1)-INDEX($AM$5:$AM$705,Q59+1)))</f>
        <v>0</v>
      </c>
      <c r="Z59" s="14">
        <f t="array" ref="Z59">IF(J59=0,0,Hitung!$D$7*IF(Hitung!$C$7="Conquest",INDEX($AL$5:$AL$705,R59+J59+1)-INDEX($AL$5:$AL$705,R59+1),INDEX($AM$5:$AM$705,R59+J59+1)-INDEX($AM$5:$AM$705,R59+1)))</f>
        <v>6660000</v>
      </c>
      <c r="AA59" s="14">
        <f t="array" ref="AA59">IF(K59=0,0,Hitung!$D$8*IF(Hitung!$C$8="Conquest",INDEX($AL$5:$AL$705,S59+K59+1)-INDEX($AL$5:$AL$705,S59+1),INDEX($AM$5:$AM$705,S59+K59+1)-INDEX($AM$5:$AM$705,S59+1)))</f>
        <v>0</v>
      </c>
      <c r="AB59" s="14">
        <f t="array" ref="AB59">IF(L59=0,0,Hitung!$D$9*IF(Hitung!$C$9="Conquest",INDEX($AL$5:$AL$705,T59+L59+1)-INDEX($AL$5:$AL$705,T59+1),INDEX($AM$5:$AM$705,T59+L59+1)-INDEX($AM$5:$AM$705,T59+1)))</f>
        <v>0</v>
      </c>
      <c r="AC59" s="14">
        <f t="array" ref="AC59">IF(M59=0,0,Hitung!$D$10*IF(Hitung!$C$10="Conquest",INDEX($AL$5:$AL$705,U59+M59+1)-INDEX($AL$5:$AL$705,U59+1),INDEX($AM$5:$AM$705,U59+M59+1)-INDEX($AM$5:$AM$705,U59+1)))</f>
        <v>28800000</v>
      </c>
      <c r="AD59" s="14">
        <f t="array" ref="AD59">IF(N59=0,0,Hitung!$D$11*IF(Hitung!$C$11="Conquest",INDEX($AL$5:$AL$705,V59+N59+1)-INDEX($AL$5:$AL$705,V59+1),INDEX($AM$5:$AM$705,V59+N59+1)-INDEX($AM$5:$AM$705,V59+1)))</f>
        <v>0</v>
      </c>
      <c r="AE59" s="14">
        <f t="array" ref="AE59">IF(O59=0,0,Hitung!$D$12*IF(Hitung!$C$12="Conquest",INDEX($AL$5:$AL$705,W59+O59+1)-INDEX($AL$5:$AL$705,W59+1),INDEX($AM$5:$AM$705,W59+O59+1)-INDEX($AM$5:$AM$705,W59+1)))</f>
        <v>0</v>
      </c>
      <c r="AF59" s="14">
        <f t="shared" si="9"/>
        <v>60660000</v>
      </c>
      <c r="AG59" s="14">
        <f>IF(E59=1,AF59-Hitung!$AO$13,0)</f>
        <v>0</v>
      </c>
      <c r="AH59" s="14">
        <f>IF(E59=1,Hitung!E12-Hitung!B21,0)</f>
        <v>0</v>
      </c>
      <c r="AI59" s="14">
        <f t="shared" si="10"/>
        <v>0</v>
      </c>
      <c r="AK59" s="14">
        <v>54.0</v>
      </c>
      <c r="AL59" s="14">
        <f>AL58+SUMIFS(Setting!$E$30:$E$39,Setting!$A$30:$A$39,AL$4,Setting!$C$30:$C$39,"&lt;="&amp;($AK59-1),Setting!$D$30:$D$39,"&gt;="&amp;($AK59-1))</f>
        <v>54</v>
      </c>
      <c r="AM59" s="14">
        <f>AM58+SUMIFS(Setting!$E$30:$E$39,Setting!$A$30:$A$39,AM$4,Setting!$C$30:$C$39,"&lt;="&amp;($AK59-1),Setting!$D$30:$D$39,"&gt;="&amp;($AK59-1))</f>
        <v>54</v>
      </c>
    </row>
    <row r="60" ht="15.75" customHeight="1">
      <c r="A60" s="14">
        <v>6.0</v>
      </c>
      <c r="B60" s="14">
        <v>1.0</v>
      </c>
      <c r="C60" s="14" t="str">
        <f>Hitung!A22</f>
        <v>Seneca</v>
      </c>
      <c r="D60" s="14" t="str">
        <f>Hitung!B5</f>
        <v>T2</v>
      </c>
      <c r="E60" s="14">
        <f>IF(AND(C60&lt;&gt;"",D60&lt;&gt;"",Hitung!B22&gt;0,Hitung!E5&gt;Hitung!B22,G60&lt;&gt;B60,F60&gt;0),1,0)</f>
        <v>0</v>
      </c>
      <c r="F60" s="25">
        <f>Hitung!D22</f>
        <v>21</v>
      </c>
      <c r="G60" s="14">
        <f>Hitung!X22</f>
        <v>3</v>
      </c>
      <c r="H60" s="25">
        <f>Hitung!$M$5-IF($G60=1,$F60,0)+IF($B60=1,$F60,0)</f>
        <v>126</v>
      </c>
      <c r="I60" s="14">
        <f>Hitung!$M$6-IF($G60=2,$F60,0)+IF($B60=2,$F60,0)</f>
        <v>0</v>
      </c>
      <c r="J60" s="25">
        <f>Hitung!$M$7-IF($G60=3,$F60,0)+IF($B60=3,$F60,0)</f>
        <v>21</v>
      </c>
      <c r="K60" s="14">
        <f>Hitung!$M$8-IF($G60=4,$F60,0)+IF($B60=4,$F60,0)</f>
        <v>0</v>
      </c>
      <c r="L60" s="14">
        <f>Hitung!$M$9-IF($G60=5,$F60,0)+IF($B60=5,$F60,0)</f>
        <v>0</v>
      </c>
      <c r="M60" s="14">
        <f>Hitung!$M$10-IF($G60=6,$F60,0)+IF($B60=6,$F60,0)</f>
        <v>61</v>
      </c>
      <c r="N60" s="14">
        <f>Hitung!$M$11-IF($G60=7,$F60,0)+IF($B60=7,$F60,0)</f>
        <v>0</v>
      </c>
      <c r="O60" s="14">
        <f>Hitung!$M$12-IF($G60=8,$F60,0)+IF($B60=8,$F60,0)</f>
        <v>0</v>
      </c>
      <c r="P60" s="14">
        <f t="shared" si="1"/>
        <v>0</v>
      </c>
      <c r="Q60" s="14">
        <f t="shared" si="2"/>
        <v>0</v>
      </c>
      <c r="R60" s="14">
        <f t="shared" si="3"/>
        <v>61</v>
      </c>
      <c r="S60" s="14">
        <f t="shared" si="4"/>
        <v>61</v>
      </c>
      <c r="T60" s="14">
        <f t="shared" si="5"/>
        <v>61</v>
      </c>
      <c r="U60" s="14">
        <f t="shared" si="6"/>
        <v>0</v>
      </c>
      <c r="V60" s="14">
        <f t="shared" si="7"/>
        <v>0</v>
      </c>
      <c r="W60" s="14">
        <f t="shared" si="8"/>
        <v>0</v>
      </c>
      <c r="X60" s="14">
        <f t="array" ref="X60">IF(H60=0,0,Hitung!$D$5*IF(Hitung!$C$5="Conquest",INDEX($AL$5:$AL$705,P60+H60+1)-INDEX($AL$5:$AL$705,P60+1),INDEX($AM$5:$AM$705,P60+H60+1)-INDEX($AM$5:$AM$705,P60+1)))</f>
        <v>34020000</v>
      </c>
      <c r="Y60" s="14">
        <f t="array" ref="Y60">IF(I60=0,0,Hitung!$D$6*IF(Hitung!$C$6="Conquest",INDEX($AL$5:$AL$705,Q60+I60+1)-INDEX($AL$5:$AL$705,Q60+1),INDEX($AM$5:$AM$705,Q60+I60+1)-INDEX($AM$5:$AM$705,Q60+1)))</f>
        <v>0</v>
      </c>
      <c r="Z60" s="14">
        <f t="array" ref="Z60">IF(J60=0,0,Hitung!$D$7*IF(Hitung!$C$7="Conquest",INDEX($AL$5:$AL$705,R60+J60+1)-INDEX($AL$5:$AL$705,R60+1),INDEX($AM$5:$AM$705,R60+J60+1)-INDEX($AM$5:$AM$705,R60+1)))</f>
        <v>4320000</v>
      </c>
      <c r="AA60" s="14">
        <f t="array" ref="AA60">IF(K60=0,0,Hitung!$D$8*IF(Hitung!$C$8="Conquest",INDEX($AL$5:$AL$705,S60+K60+1)-INDEX($AL$5:$AL$705,S60+1),INDEX($AM$5:$AM$705,S60+K60+1)-INDEX($AM$5:$AM$705,S60+1)))</f>
        <v>0</v>
      </c>
      <c r="AB60" s="14">
        <f t="array" ref="AB60">IF(L60=0,0,Hitung!$D$9*IF(Hitung!$C$9="Conquest",INDEX($AL$5:$AL$705,T60+L60+1)-INDEX($AL$5:$AL$705,T60+1),INDEX($AM$5:$AM$705,T60+L60+1)-INDEX($AM$5:$AM$705,T60+1)))</f>
        <v>0</v>
      </c>
      <c r="AC60" s="14">
        <f t="array" ref="AC60">IF(M60=0,0,Hitung!$D$10*IF(Hitung!$C$10="Conquest",INDEX($AL$5:$AL$705,U60+M60+1)-INDEX($AL$5:$AL$705,U60+1),INDEX($AM$5:$AM$705,U60+M60+1)-INDEX($AM$5:$AM$705,U60+1)))</f>
        <v>28800000</v>
      </c>
      <c r="AD60" s="14">
        <f t="array" ref="AD60">IF(N60=0,0,Hitung!$D$11*IF(Hitung!$C$11="Conquest",INDEX($AL$5:$AL$705,V60+N60+1)-INDEX($AL$5:$AL$705,V60+1),INDEX($AM$5:$AM$705,V60+N60+1)-INDEX($AM$5:$AM$705,V60+1)))</f>
        <v>0</v>
      </c>
      <c r="AE60" s="14">
        <f t="array" ref="AE60">IF(O60=0,0,Hitung!$D$12*IF(Hitung!$C$12="Conquest",INDEX($AL$5:$AL$705,W60+O60+1)-INDEX($AL$5:$AL$705,W60+1),INDEX($AM$5:$AM$705,W60+O60+1)-INDEX($AM$5:$AM$705,W60+1)))</f>
        <v>0</v>
      </c>
      <c r="AF60" s="14">
        <f t="shared" si="9"/>
        <v>67140000</v>
      </c>
      <c r="AG60" s="14">
        <f>IF(E60=1,AF60-Hitung!$AO$13,0)</f>
        <v>0</v>
      </c>
      <c r="AH60" s="14">
        <f>IF(E60=1,Hitung!E5-Hitung!B22,0)</f>
        <v>0</v>
      </c>
      <c r="AI60" s="14">
        <f t="shared" si="10"/>
        <v>0</v>
      </c>
      <c r="AK60" s="14">
        <v>55.0</v>
      </c>
      <c r="AL60" s="14">
        <f>AL59+SUMIFS(Setting!$E$30:$E$39,Setting!$A$30:$A$39,AL$4,Setting!$C$30:$C$39,"&lt;="&amp;($AK60-1),Setting!$D$30:$D$39,"&gt;="&amp;($AK60-1))</f>
        <v>55</v>
      </c>
      <c r="AM60" s="14">
        <f>AM59+SUMIFS(Setting!$E$30:$E$39,Setting!$A$30:$A$39,AM$4,Setting!$C$30:$C$39,"&lt;="&amp;($AK60-1),Setting!$D$30:$D$39,"&gt;="&amp;($AK60-1))</f>
        <v>55</v>
      </c>
    </row>
    <row r="61" ht="15.75" customHeight="1">
      <c r="A61" s="14">
        <v>6.0</v>
      </c>
      <c r="B61" s="14">
        <v>2.0</v>
      </c>
      <c r="C61" s="14" t="str">
        <f>Hitung!A22</f>
        <v>Seneca</v>
      </c>
      <c r="D61" s="14" t="str">
        <f>Hitung!B6</f>
        <v>T3</v>
      </c>
      <c r="E61" s="14">
        <f>IF(AND(C61&lt;&gt;"",D61&lt;&gt;"",Hitung!B22&gt;0,Hitung!E6&gt;Hitung!B22,G61&lt;&gt;B61,F61&gt;0),1,0)</f>
        <v>1</v>
      </c>
      <c r="F61" s="25">
        <f>Hitung!D22</f>
        <v>21</v>
      </c>
      <c r="G61" s="14">
        <f>Hitung!X22</f>
        <v>3</v>
      </c>
      <c r="H61" s="14">
        <f>Hitung!$M$5-IF($G61=1,$F61,0)+IF($B61=1,$F61,0)</f>
        <v>105</v>
      </c>
      <c r="I61" s="25">
        <f>Hitung!$M$6-IF($G61=2,$F61,0)+IF($B61=2,$F61,0)</f>
        <v>21</v>
      </c>
      <c r="J61" s="25">
        <f>Hitung!$M$7-IF($G61=3,$F61,0)+IF($B61=3,$F61,0)</f>
        <v>21</v>
      </c>
      <c r="K61" s="14">
        <f>Hitung!$M$8-IF($G61=4,$F61,0)+IF($B61=4,$F61,0)</f>
        <v>0</v>
      </c>
      <c r="L61" s="14">
        <f>Hitung!$M$9-IF($G61=5,$F61,0)+IF($B61=5,$F61,0)</f>
        <v>0</v>
      </c>
      <c r="M61" s="14">
        <f>Hitung!$M$10-IF($G61=6,$F61,0)+IF($B61=6,$F61,0)</f>
        <v>61</v>
      </c>
      <c r="N61" s="14">
        <f>Hitung!$M$11-IF($G61=7,$F61,0)+IF($B61=7,$F61,0)</f>
        <v>0</v>
      </c>
      <c r="O61" s="14">
        <f>Hitung!$M$12-IF($G61=8,$F61,0)+IF($B61=8,$F61,0)</f>
        <v>0</v>
      </c>
      <c r="P61" s="14">
        <f t="shared" si="1"/>
        <v>21</v>
      </c>
      <c r="Q61" s="14">
        <f t="shared" si="2"/>
        <v>0</v>
      </c>
      <c r="R61" s="14">
        <f t="shared" si="3"/>
        <v>61</v>
      </c>
      <c r="S61" s="14">
        <f t="shared" si="4"/>
        <v>61</v>
      </c>
      <c r="T61" s="14">
        <f t="shared" si="5"/>
        <v>61</v>
      </c>
      <c r="U61" s="14">
        <f t="shared" si="6"/>
        <v>0</v>
      </c>
      <c r="V61" s="14">
        <f t="shared" si="7"/>
        <v>0</v>
      </c>
      <c r="W61" s="14">
        <f t="shared" si="8"/>
        <v>0</v>
      </c>
      <c r="X61" s="14">
        <f t="array" ref="X61">IF(H61=0,0,Hitung!$D$5*IF(Hitung!$C$5="Conquest",INDEX($AL$5:$AL$705,P61+H61+1)-INDEX($AL$5:$AL$705,P61+1),INDEX($AM$5:$AM$705,P61+H61+1)-INDEX($AM$5:$AM$705,P61+1)))</f>
        <v>27720000</v>
      </c>
      <c r="Y61" s="14">
        <f t="array" ref="Y61">IF(I61=0,0,Hitung!$D$6*IF(Hitung!$C$6="Conquest",INDEX($AL$5:$AL$705,Q61+I61+1)-INDEX($AL$5:$AL$705,Q61+1),INDEX($AM$5:$AM$705,Q61+I61+1)-INDEX($AM$5:$AM$705,Q61+1)))</f>
        <v>8400000</v>
      </c>
      <c r="Z61" s="14">
        <f t="array" ref="Z61">IF(J61=0,0,Hitung!$D$7*IF(Hitung!$C$7="Conquest",INDEX($AL$5:$AL$705,R61+J61+1)-INDEX($AL$5:$AL$705,R61+1),INDEX($AM$5:$AM$705,R61+J61+1)-INDEX($AM$5:$AM$705,R61+1)))</f>
        <v>4320000</v>
      </c>
      <c r="AA61" s="14">
        <f t="array" ref="AA61">IF(K61=0,0,Hitung!$D$8*IF(Hitung!$C$8="Conquest",INDEX($AL$5:$AL$705,S61+K61+1)-INDEX($AL$5:$AL$705,S61+1),INDEX($AM$5:$AM$705,S61+K61+1)-INDEX($AM$5:$AM$705,S61+1)))</f>
        <v>0</v>
      </c>
      <c r="AB61" s="14">
        <f t="array" ref="AB61">IF(L61=0,0,Hitung!$D$9*IF(Hitung!$C$9="Conquest",INDEX($AL$5:$AL$705,T61+L61+1)-INDEX($AL$5:$AL$705,T61+1),INDEX($AM$5:$AM$705,T61+L61+1)-INDEX($AM$5:$AM$705,T61+1)))</f>
        <v>0</v>
      </c>
      <c r="AC61" s="14">
        <f t="array" ref="AC61">IF(M61=0,0,Hitung!$D$10*IF(Hitung!$C$10="Conquest",INDEX($AL$5:$AL$705,U61+M61+1)-INDEX($AL$5:$AL$705,U61+1),INDEX($AM$5:$AM$705,U61+M61+1)-INDEX($AM$5:$AM$705,U61+1)))</f>
        <v>28800000</v>
      </c>
      <c r="AD61" s="14">
        <f t="array" ref="AD61">IF(N61=0,0,Hitung!$D$11*IF(Hitung!$C$11="Conquest",INDEX($AL$5:$AL$705,V61+N61+1)-INDEX($AL$5:$AL$705,V61+1),INDEX($AM$5:$AM$705,V61+N61+1)-INDEX($AM$5:$AM$705,V61+1)))</f>
        <v>0</v>
      </c>
      <c r="AE61" s="14">
        <f t="array" ref="AE61">IF(O61=0,0,Hitung!$D$12*IF(Hitung!$C$12="Conquest",INDEX($AL$5:$AL$705,W61+O61+1)-INDEX($AL$5:$AL$705,W61+1),INDEX($AM$5:$AM$705,W61+O61+1)-INDEX($AM$5:$AM$705,W61+1)))</f>
        <v>0</v>
      </c>
      <c r="AF61" s="14">
        <f t="shared" si="9"/>
        <v>69240000</v>
      </c>
      <c r="AG61" s="14">
        <f>IF(E61=1,AF61-Hitung!$AO$13,0)</f>
        <v>3540000</v>
      </c>
      <c r="AH61" s="73">
        <f>IF(E61=1,Hitung!E6-Hitung!B22,0)</f>
        <v>496</v>
      </c>
      <c r="AI61" s="14">
        <f t="shared" si="10"/>
        <v>7137.096774</v>
      </c>
      <c r="AK61" s="14">
        <v>56.0</v>
      </c>
      <c r="AL61" s="14">
        <f>AL60+SUMIFS(Setting!$E$30:$E$39,Setting!$A$30:$A$39,AL$4,Setting!$C$30:$C$39,"&lt;="&amp;($AK61-1),Setting!$D$30:$D$39,"&gt;="&amp;($AK61-1))</f>
        <v>56</v>
      </c>
      <c r="AM61" s="14">
        <f>AM60+SUMIFS(Setting!$E$30:$E$39,Setting!$A$30:$A$39,AM$4,Setting!$C$30:$C$39,"&lt;="&amp;($AK61-1),Setting!$D$30:$D$39,"&gt;="&amp;($AK61-1))</f>
        <v>56</v>
      </c>
    </row>
    <row r="62" ht="15.75" customHeight="1">
      <c r="A62" s="14">
        <v>6.0</v>
      </c>
      <c r="B62" s="14">
        <v>3.0</v>
      </c>
      <c r="C62" s="14" t="str">
        <f>Hitung!A22</f>
        <v>Seneca</v>
      </c>
      <c r="D62" s="14" t="str">
        <f>Hitung!B7</f>
        <v>S1</v>
      </c>
      <c r="E62" s="14">
        <f>IF(AND(C62&lt;&gt;"",D62&lt;&gt;"",Hitung!B22&gt;0,Hitung!E7&gt;Hitung!B22,G62&lt;&gt;B62,F62&gt;0),1,0)</f>
        <v>0</v>
      </c>
      <c r="F62" s="25">
        <f>Hitung!D22</f>
        <v>21</v>
      </c>
      <c r="G62" s="14">
        <f>Hitung!X22</f>
        <v>3</v>
      </c>
      <c r="H62" s="14">
        <f>Hitung!$M$5-IF($G62=1,$F62,0)+IF($B62=1,$F62,0)</f>
        <v>105</v>
      </c>
      <c r="I62" s="14">
        <f>Hitung!$M$6-IF($G62=2,$F62,0)+IF($B62=2,$F62,0)</f>
        <v>0</v>
      </c>
      <c r="J62" s="25">
        <f>Hitung!$M$7-IF($G62=3,$F62,0)+IF($B62=3,$F62,0)</f>
        <v>42</v>
      </c>
      <c r="K62" s="14">
        <f>Hitung!$M$8-IF($G62=4,$F62,0)+IF($B62=4,$F62,0)</f>
        <v>0</v>
      </c>
      <c r="L62" s="14">
        <f>Hitung!$M$9-IF($G62=5,$F62,0)+IF($B62=5,$F62,0)</f>
        <v>0</v>
      </c>
      <c r="M62" s="14">
        <f>Hitung!$M$10-IF($G62=6,$F62,0)+IF($B62=6,$F62,0)</f>
        <v>61</v>
      </c>
      <c r="N62" s="14">
        <f>Hitung!$M$11-IF($G62=7,$F62,0)+IF($B62=7,$F62,0)</f>
        <v>0</v>
      </c>
      <c r="O62" s="14">
        <f>Hitung!$M$12-IF($G62=8,$F62,0)+IF($B62=8,$F62,0)</f>
        <v>0</v>
      </c>
      <c r="P62" s="14">
        <f t="shared" si="1"/>
        <v>0</v>
      </c>
      <c r="Q62" s="14">
        <f t="shared" si="2"/>
        <v>0</v>
      </c>
      <c r="R62" s="14">
        <f t="shared" si="3"/>
        <v>61</v>
      </c>
      <c r="S62" s="14">
        <f t="shared" si="4"/>
        <v>61</v>
      </c>
      <c r="T62" s="14">
        <f t="shared" si="5"/>
        <v>61</v>
      </c>
      <c r="U62" s="14">
        <f t="shared" si="6"/>
        <v>0</v>
      </c>
      <c r="V62" s="14">
        <f t="shared" si="7"/>
        <v>0</v>
      </c>
      <c r="W62" s="14">
        <f t="shared" si="8"/>
        <v>0</v>
      </c>
      <c r="X62" s="14">
        <f t="array" ref="X62">IF(H62=0,0,Hitung!$D$5*IF(Hitung!$C$5="Conquest",INDEX($AL$5:$AL$705,P62+H62+1)-INDEX($AL$5:$AL$705,P62+1),INDEX($AM$5:$AM$705,P62+H62+1)-INDEX($AM$5:$AM$705,P62+1)))</f>
        <v>30240000</v>
      </c>
      <c r="Y62" s="14">
        <f t="array" ref="Y62">IF(I62=0,0,Hitung!$D$6*IF(Hitung!$C$6="Conquest",INDEX($AL$5:$AL$705,Q62+I62+1)-INDEX($AL$5:$AL$705,Q62+1),INDEX($AM$5:$AM$705,Q62+I62+1)-INDEX($AM$5:$AM$705,Q62+1)))</f>
        <v>0</v>
      </c>
      <c r="Z62" s="14">
        <f t="array" ref="Z62">IF(J62=0,0,Hitung!$D$7*IF(Hitung!$C$7="Conquest",INDEX($AL$5:$AL$705,R62+J62+1)-INDEX($AL$5:$AL$705,R62+1),INDEX($AM$5:$AM$705,R62+J62+1)-INDEX($AM$5:$AM$705,R62+1)))</f>
        <v>6660000</v>
      </c>
      <c r="AA62" s="14">
        <f t="array" ref="AA62">IF(K62=0,0,Hitung!$D$8*IF(Hitung!$C$8="Conquest",INDEX($AL$5:$AL$705,S62+K62+1)-INDEX($AL$5:$AL$705,S62+1),INDEX($AM$5:$AM$705,S62+K62+1)-INDEX($AM$5:$AM$705,S62+1)))</f>
        <v>0</v>
      </c>
      <c r="AB62" s="14">
        <f t="array" ref="AB62">IF(L62=0,0,Hitung!$D$9*IF(Hitung!$C$9="Conquest",INDEX($AL$5:$AL$705,T62+L62+1)-INDEX($AL$5:$AL$705,T62+1),INDEX($AM$5:$AM$705,T62+L62+1)-INDEX($AM$5:$AM$705,T62+1)))</f>
        <v>0</v>
      </c>
      <c r="AC62" s="14">
        <f t="array" ref="AC62">IF(M62=0,0,Hitung!$D$10*IF(Hitung!$C$10="Conquest",INDEX($AL$5:$AL$705,U62+M62+1)-INDEX($AL$5:$AL$705,U62+1),INDEX($AM$5:$AM$705,U62+M62+1)-INDEX($AM$5:$AM$705,U62+1)))</f>
        <v>28800000</v>
      </c>
      <c r="AD62" s="14">
        <f t="array" ref="AD62">IF(N62=0,0,Hitung!$D$11*IF(Hitung!$C$11="Conquest",INDEX($AL$5:$AL$705,V62+N62+1)-INDEX($AL$5:$AL$705,V62+1),INDEX($AM$5:$AM$705,V62+N62+1)-INDEX($AM$5:$AM$705,V62+1)))</f>
        <v>0</v>
      </c>
      <c r="AE62" s="14">
        <f t="array" ref="AE62">IF(O62=0,0,Hitung!$D$12*IF(Hitung!$C$12="Conquest",INDEX($AL$5:$AL$705,W62+O62+1)-INDEX($AL$5:$AL$705,W62+1),INDEX($AM$5:$AM$705,W62+O62+1)-INDEX($AM$5:$AM$705,W62+1)))</f>
        <v>0</v>
      </c>
      <c r="AF62" s="14">
        <f t="shared" si="9"/>
        <v>65700000</v>
      </c>
      <c r="AG62" s="14">
        <f>IF(E62=1,AF62-Hitung!$AO$13,0)</f>
        <v>0</v>
      </c>
      <c r="AH62" s="14">
        <f>IF(E62=1,Hitung!E7-Hitung!B22,0)</f>
        <v>0</v>
      </c>
      <c r="AI62" s="14">
        <f t="shared" si="10"/>
        <v>0</v>
      </c>
      <c r="AK62" s="14">
        <v>57.0</v>
      </c>
      <c r="AL62" s="14">
        <f>AL61+SUMIFS(Setting!$E$30:$E$39,Setting!$A$30:$A$39,AL$4,Setting!$C$30:$C$39,"&lt;="&amp;($AK62-1),Setting!$D$30:$D$39,"&gt;="&amp;($AK62-1))</f>
        <v>57</v>
      </c>
      <c r="AM62" s="14">
        <f>AM61+SUMIFS(Setting!$E$30:$E$39,Setting!$A$30:$A$39,AM$4,Setting!$C$30:$C$39,"&lt;="&amp;($AK62-1),Setting!$D$30:$D$39,"&gt;="&amp;($AK62-1))</f>
        <v>56.8</v>
      </c>
    </row>
    <row r="63" ht="15.75" customHeight="1">
      <c r="A63" s="14">
        <v>6.0</v>
      </c>
      <c r="B63" s="14">
        <v>4.0</v>
      </c>
      <c r="C63" s="14" t="str">
        <f>Hitung!A22</f>
        <v>Seneca</v>
      </c>
      <c r="D63" s="14" t="str">
        <f>Hitung!B8</f>
        <v>S2</v>
      </c>
      <c r="E63" s="14">
        <f>IF(AND(C63&lt;&gt;"",D63&lt;&gt;"",Hitung!B22&gt;0,Hitung!E8&gt;Hitung!B22,G63&lt;&gt;B63,F63&gt;0),1,0)</f>
        <v>1</v>
      </c>
      <c r="F63" s="25">
        <f>Hitung!D22</f>
        <v>21</v>
      </c>
      <c r="G63" s="14">
        <f>Hitung!X22</f>
        <v>3</v>
      </c>
      <c r="H63" s="14">
        <f>Hitung!$M$5-IF($G63=1,$F63,0)+IF($B63=1,$F63,0)</f>
        <v>105</v>
      </c>
      <c r="I63" s="14">
        <f>Hitung!$M$6-IF($G63=2,$F63,0)+IF($B63=2,$F63,0)</f>
        <v>0</v>
      </c>
      <c r="J63" s="25">
        <f>Hitung!$M$7-IF($G63=3,$F63,0)+IF($B63=3,$F63,0)</f>
        <v>21</v>
      </c>
      <c r="K63" s="25">
        <f>Hitung!$M$8-IF($G63=4,$F63,0)+IF($B63=4,$F63,0)</f>
        <v>21</v>
      </c>
      <c r="L63" s="14">
        <f>Hitung!$M$9-IF($G63=5,$F63,0)+IF($B63=5,$F63,0)</f>
        <v>0</v>
      </c>
      <c r="M63" s="14">
        <f>Hitung!$M$10-IF($G63=6,$F63,0)+IF($B63=6,$F63,0)</f>
        <v>61</v>
      </c>
      <c r="N63" s="14">
        <f>Hitung!$M$11-IF($G63=7,$F63,0)+IF($B63=7,$F63,0)</f>
        <v>0</v>
      </c>
      <c r="O63" s="14">
        <f>Hitung!$M$12-IF($G63=8,$F63,0)+IF($B63=8,$F63,0)</f>
        <v>0</v>
      </c>
      <c r="P63" s="14">
        <f t="shared" si="1"/>
        <v>0</v>
      </c>
      <c r="Q63" s="14">
        <f t="shared" si="2"/>
        <v>0</v>
      </c>
      <c r="R63" s="14">
        <f t="shared" si="3"/>
        <v>82</v>
      </c>
      <c r="S63" s="14">
        <f t="shared" si="4"/>
        <v>61</v>
      </c>
      <c r="T63" s="14">
        <f t="shared" si="5"/>
        <v>61</v>
      </c>
      <c r="U63" s="14">
        <f t="shared" si="6"/>
        <v>0</v>
      </c>
      <c r="V63" s="14">
        <f t="shared" si="7"/>
        <v>0</v>
      </c>
      <c r="W63" s="14">
        <f t="shared" si="8"/>
        <v>0</v>
      </c>
      <c r="X63" s="14">
        <f t="array" ref="X63">IF(H63=0,0,Hitung!$D$5*IF(Hitung!$C$5="Conquest",INDEX($AL$5:$AL$705,P63+H63+1)-INDEX($AL$5:$AL$705,P63+1),INDEX($AM$5:$AM$705,P63+H63+1)-INDEX($AM$5:$AM$705,P63+1)))</f>
        <v>30240000</v>
      </c>
      <c r="Y63" s="14">
        <f t="array" ref="Y63">IF(I63=0,0,Hitung!$D$6*IF(Hitung!$C$6="Conquest",INDEX($AL$5:$AL$705,Q63+I63+1)-INDEX($AL$5:$AL$705,Q63+1),INDEX($AM$5:$AM$705,Q63+I63+1)-INDEX($AM$5:$AM$705,Q63+1)))</f>
        <v>0</v>
      </c>
      <c r="Z63" s="14">
        <f t="array" ref="Z63">IF(J63=0,0,Hitung!$D$7*IF(Hitung!$C$7="Conquest",INDEX($AL$5:$AL$705,R63+J63+1)-INDEX($AL$5:$AL$705,R63+1),INDEX($AM$5:$AM$705,R63+J63+1)-INDEX($AM$5:$AM$705,R63+1)))</f>
        <v>2340000</v>
      </c>
      <c r="AA63" s="14">
        <f t="array" ref="AA63">IF(K63=0,0,Hitung!$D$8*IF(Hitung!$C$8="Conquest",INDEX($AL$5:$AL$705,S63+K63+1)-INDEX($AL$5:$AL$705,S63+1),INDEX($AM$5:$AM$705,S63+K63+1)-INDEX($AM$5:$AM$705,S63+1)))</f>
        <v>5184000</v>
      </c>
      <c r="AB63" s="14">
        <f t="array" ref="AB63">IF(L63=0,0,Hitung!$D$9*IF(Hitung!$C$9="Conquest",INDEX($AL$5:$AL$705,T63+L63+1)-INDEX($AL$5:$AL$705,T63+1),INDEX($AM$5:$AM$705,T63+L63+1)-INDEX($AM$5:$AM$705,T63+1)))</f>
        <v>0</v>
      </c>
      <c r="AC63" s="14">
        <f t="array" ref="AC63">IF(M63=0,0,Hitung!$D$10*IF(Hitung!$C$10="Conquest",INDEX($AL$5:$AL$705,U63+M63+1)-INDEX($AL$5:$AL$705,U63+1),INDEX($AM$5:$AM$705,U63+M63+1)-INDEX($AM$5:$AM$705,U63+1)))</f>
        <v>28800000</v>
      </c>
      <c r="AD63" s="14">
        <f t="array" ref="AD63">IF(N63=0,0,Hitung!$D$11*IF(Hitung!$C$11="Conquest",INDEX($AL$5:$AL$705,V63+N63+1)-INDEX($AL$5:$AL$705,V63+1),INDEX($AM$5:$AM$705,V63+N63+1)-INDEX($AM$5:$AM$705,V63+1)))</f>
        <v>0</v>
      </c>
      <c r="AE63" s="14">
        <f t="array" ref="AE63">IF(O63=0,0,Hitung!$D$12*IF(Hitung!$C$12="Conquest",INDEX($AL$5:$AL$705,W63+O63+1)-INDEX($AL$5:$AL$705,W63+1),INDEX($AM$5:$AM$705,W63+O63+1)-INDEX($AM$5:$AM$705,W63+1)))</f>
        <v>0</v>
      </c>
      <c r="AF63" s="14">
        <f t="shared" si="9"/>
        <v>66564000</v>
      </c>
      <c r="AG63" s="14">
        <f>IF(E63=1,AF63-Hitung!$AO$13,0)</f>
        <v>864000</v>
      </c>
      <c r="AH63" s="73">
        <f>IF(E63=1,Hitung!E8-Hitung!B22,0)</f>
        <v>296</v>
      </c>
      <c r="AI63" s="14">
        <f t="shared" si="10"/>
        <v>2918.918919</v>
      </c>
      <c r="AK63" s="14">
        <v>58.0</v>
      </c>
      <c r="AL63" s="14">
        <f>AL62+SUMIFS(Setting!$E$30:$E$39,Setting!$A$30:$A$39,AL$4,Setting!$C$30:$C$39,"&lt;="&amp;($AK63-1),Setting!$D$30:$D$39,"&gt;="&amp;($AK63-1))</f>
        <v>58</v>
      </c>
      <c r="AM63" s="14">
        <f>AM62+SUMIFS(Setting!$E$30:$E$39,Setting!$A$30:$A$39,AM$4,Setting!$C$30:$C$39,"&lt;="&amp;($AK63-1),Setting!$D$30:$D$39,"&gt;="&amp;($AK63-1))</f>
        <v>57.6</v>
      </c>
    </row>
    <row r="64" ht="15.75" customHeight="1">
      <c r="A64" s="14">
        <v>6.0</v>
      </c>
      <c r="B64" s="14">
        <v>5.0</v>
      </c>
      <c r="C64" s="14" t="str">
        <f>Hitung!A22</f>
        <v>Seneca</v>
      </c>
      <c r="D64" s="14" t="str">
        <f>Hitung!B9</f>
        <v>S3</v>
      </c>
      <c r="E64" s="14">
        <f>IF(AND(C64&lt;&gt;"",D64&lt;&gt;"",Hitung!B22&gt;0,Hitung!E9&gt;Hitung!B22,G64&lt;&gt;B64,F64&gt;0),1,0)</f>
        <v>1</v>
      </c>
      <c r="F64" s="25">
        <f>Hitung!D22</f>
        <v>21</v>
      </c>
      <c r="G64" s="14">
        <f>Hitung!X22</f>
        <v>3</v>
      </c>
      <c r="H64" s="14">
        <f>Hitung!$M$5-IF($G64=1,$F64,0)+IF($B64=1,$F64,0)</f>
        <v>105</v>
      </c>
      <c r="I64" s="14">
        <f>Hitung!$M$6-IF($G64=2,$F64,0)+IF($B64=2,$F64,0)</f>
        <v>0</v>
      </c>
      <c r="J64" s="25">
        <f>Hitung!$M$7-IF($G64=3,$F64,0)+IF($B64=3,$F64,0)</f>
        <v>21</v>
      </c>
      <c r="K64" s="14">
        <f>Hitung!$M$8-IF($G64=4,$F64,0)+IF($B64=4,$F64,0)</f>
        <v>0</v>
      </c>
      <c r="L64" s="25">
        <f>Hitung!$M$9-IF($G64=5,$F64,0)+IF($B64=5,$F64,0)</f>
        <v>21</v>
      </c>
      <c r="M64" s="14">
        <f>Hitung!$M$10-IF($G64=6,$F64,0)+IF($B64=6,$F64,0)</f>
        <v>61</v>
      </c>
      <c r="N64" s="14">
        <f>Hitung!$M$11-IF($G64=7,$F64,0)+IF($B64=7,$F64,0)</f>
        <v>0</v>
      </c>
      <c r="O64" s="14">
        <f>Hitung!$M$12-IF($G64=8,$F64,0)+IF($B64=8,$F64,0)</f>
        <v>0</v>
      </c>
      <c r="P64" s="14">
        <f t="shared" si="1"/>
        <v>0</v>
      </c>
      <c r="Q64" s="14">
        <f t="shared" si="2"/>
        <v>0</v>
      </c>
      <c r="R64" s="14">
        <f t="shared" si="3"/>
        <v>82</v>
      </c>
      <c r="S64" s="14">
        <f t="shared" si="4"/>
        <v>82</v>
      </c>
      <c r="T64" s="14">
        <f t="shared" si="5"/>
        <v>61</v>
      </c>
      <c r="U64" s="14">
        <f t="shared" si="6"/>
        <v>0</v>
      </c>
      <c r="V64" s="14">
        <f t="shared" si="7"/>
        <v>0</v>
      </c>
      <c r="W64" s="14">
        <f t="shared" si="8"/>
        <v>0</v>
      </c>
      <c r="X64" s="14">
        <f t="array" ref="X64">IF(H64=0,0,Hitung!$D$5*IF(Hitung!$C$5="Conquest",INDEX($AL$5:$AL$705,P64+H64+1)-INDEX($AL$5:$AL$705,P64+1),INDEX($AM$5:$AM$705,P64+H64+1)-INDEX($AM$5:$AM$705,P64+1)))</f>
        <v>30240000</v>
      </c>
      <c r="Y64" s="14">
        <f t="array" ref="Y64">IF(I64=0,0,Hitung!$D$6*IF(Hitung!$C$6="Conquest",INDEX($AL$5:$AL$705,Q64+I64+1)-INDEX($AL$5:$AL$705,Q64+1),INDEX($AM$5:$AM$705,Q64+I64+1)-INDEX($AM$5:$AM$705,Q64+1)))</f>
        <v>0</v>
      </c>
      <c r="Z64" s="14">
        <f t="array" ref="Z64">IF(J64=0,0,Hitung!$D$7*IF(Hitung!$C$7="Conquest",INDEX($AL$5:$AL$705,R64+J64+1)-INDEX($AL$5:$AL$705,R64+1),INDEX($AM$5:$AM$705,R64+J64+1)-INDEX($AM$5:$AM$705,R64+1)))</f>
        <v>2340000</v>
      </c>
      <c r="AA64" s="14">
        <f t="array" ref="AA64">IF(K64=0,0,Hitung!$D$8*IF(Hitung!$C$8="Conquest",INDEX($AL$5:$AL$705,S64+K64+1)-INDEX($AL$5:$AL$705,S64+1),INDEX($AM$5:$AM$705,S64+K64+1)-INDEX($AM$5:$AM$705,S64+1)))</f>
        <v>0</v>
      </c>
      <c r="AB64" s="14">
        <f t="array" ref="AB64">IF(L64=0,0,Hitung!$D$9*IF(Hitung!$C$9="Conquest",INDEX($AL$5:$AL$705,T64+L64+1)-INDEX($AL$5:$AL$705,T64+1),INDEX($AM$5:$AM$705,T64+L64+1)-INDEX($AM$5:$AM$705,T64+1)))</f>
        <v>6048000</v>
      </c>
      <c r="AC64" s="14">
        <f t="array" ref="AC64">IF(M64=0,0,Hitung!$D$10*IF(Hitung!$C$10="Conquest",INDEX($AL$5:$AL$705,U64+M64+1)-INDEX($AL$5:$AL$705,U64+1),INDEX($AM$5:$AM$705,U64+M64+1)-INDEX($AM$5:$AM$705,U64+1)))</f>
        <v>28800000</v>
      </c>
      <c r="AD64" s="14">
        <f t="array" ref="AD64">IF(N64=0,0,Hitung!$D$11*IF(Hitung!$C$11="Conquest",INDEX($AL$5:$AL$705,V64+N64+1)-INDEX($AL$5:$AL$705,V64+1),INDEX($AM$5:$AM$705,V64+N64+1)-INDEX($AM$5:$AM$705,V64+1)))</f>
        <v>0</v>
      </c>
      <c r="AE64" s="14">
        <f t="array" ref="AE64">IF(O64=0,0,Hitung!$D$12*IF(Hitung!$C$12="Conquest",INDEX($AL$5:$AL$705,W64+O64+1)-INDEX($AL$5:$AL$705,W64+1),INDEX($AM$5:$AM$705,W64+O64+1)-INDEX($AM$5:$AM$705,W64+1)))</f>
        <v>0</v>
      </c>
      <c r="AF64" s="14">
        <f t="shared" si="9"/>
        <v>67428000</v>
      </c>
      <c r="AG64" s="14">
        <f>IF(E64=1,AF64-Hitung!$AO$13,0)</f>
        <v>1728000</v>
      </c>
      <c r="AH64" s="73">
        <f>IF(E64=1,Hitung!E9-Hitung!B22,0)</f>
        <v>596</v>
      </c>
      <c r="AI64" s="14">
        <f t="shared" si="10"/>
        <v>2899.328859</v>
      </c>
      <c r="AK64" s="14">
        <v>59.0</v>
      </c>
      <c r="AL64" s="14">
        <f>AL63+SUMIFS(Setting!$E$30:$E$39,Setting!$A$30:$A$39,AL$4,Setting!$C$30:$C$39,"&lt;="&amp;($AK64-1),Setting!$D$30:$D$39,"&gt;="&amp;($AK64-1))</f>
        <v>59</v>
      </c>
      <c r="AM64" s="14">
        <f>AM63+SUMIFS(Setting!$E$30:$E$39,Setting!$A$30:$A$39,AM$4,Setting!$C$30:$C$39,"&lt;="&amp;($AK64-1),Setting!$D$30:$D$39,"&gt;="&amp;($AK64-1))</f>
        <v>58.4</v>
      </c>
    </row>
    <row r="65" ht="15.75" customHeight="1">
      <c r="A65" s="14">
        <v>6.0</v>
      </c>
      <c r="B65" s="14">
        <v>6.0</v>
      </c>
      <c r="C65" s="14" t="str">
        <f>Hitung!A22</f>
        <v>Seneca</v>
      </c>
      <c r="D65" s="14" t="str">
        <f>Hitung!B10</f>
        <v>S4</v>
      </c>
      <c r="E65" s="14">
        <f>IF(AND(C65&lt;&gt;"",D65&lt;&gt;"",Hitung!B22&gt;0,Hitung!E10&gt;Hitung!B22,G65&lt;&gt;B65,F65&gt;0),1,0)</f>
        <v>1</v>
      </c>
      <c r="F65" s="25">
        <f>Hitung!D22</f>
        <v>21</v>
      </c>
      <c r="G65" s="14">
        <f>Hitung!X22</f>
        <v>3</v>
      </c>
      <c r="H65" s="14">
        <f>Hitung!$M$5-IF($G65=1,$F65,0)+IF($B65=1,$F65,0)</f>
        <v>105</v>
      </c>
      <c r="I65" s="14">
        <f>Hitung!$M$6-IF($G65=2,$F65,0)+IF($B65=2,$F65,0)</f>
        <v>0</v>
      </c>
      <c r="J65" s="25">
        <f>Hitung!$M$7-IF($G65=3,$F65,0)+IF($B65=3,$F65,0)</f>
        <v>21</v>
      </c>
      <c r="K65" s="14">
        <f>Hitung!$M$8-IF($G65=4,$F65,0)+IF($B65=4,$F65,0)</f>
        <v>0</v>
      </c>
      <c r="L65" s="14">
        <f>Hitung!$M$9-IF($G65=5,$F65,0)+IF($B65=5,$F65,0)</f>
        <v>0</v>
      </c>
      <c r="M65" s="25">
        <f>Hitung!$M$10-IF($G65=6,$F65,0)+IF($B65=6,$F65,0)</f>
        <v>82</v>
      </c>
      <c r="N65" s="14">
        <f>Hitung!$M$11-IF($G65=7,$F65,0)+IF($B65=7,$F65,0)</f>
        <v>0</v>
      </c>
      <c r="O65" s="14">
        <f>Hitung!$M$12-IF($G65=8,$F65,0)+IF($B65=8,$F65,0)</f>
        <v>0</v>
      </c>
      <c r="P65" s="14">
        <f t="shared" si="1"/>
        <v>0</v>
      </c>
      <c r="Q65" s="14">
        <f t="shared" si="2"/>
        <v>0</v>
      </c>
      <c r="R65" s="14">
        <f t="shared" si="3"/>
        <v>82</v>
      </c>
      <c r="S65" s="14">
        <f t="shared" si="4"/>
        <v>82</v>
      </c>
      <c r="T65" s="14">
        <f t="shared" si="5"/>
        <v>82</v>
      </c>
      <c r="U65" s="14">
        <f t="shared" si="6"/>
        <v>0</v>
      </c>
      <c r="V65" s="14">
        <f t="shared" si="7"/>
        <v>0</v>
      </c>
      <c r="W65" s="14">
        <f t="shared" si="8"/>
        <v>0</v>
      </c>
      <c r="X65" s="14">
        <f t="array" ref="X65">IF(H65=0,0,Hitung!$D$5*IF(Hitung!$C$5="Conquest",INDEX($AL$5:$AL$705,P65+H65+1)-INDEX($AL$5:$AL$705,P65+1),INDEX($AM$5:$AM$705,P65+H65+1)-INDEX($AM$5:$AM$705,P65+1)))</f>
        <v>30240000</v>
      </c>
      <c r="Y65" s="14">
        <f t="array" ref="Y65">IF(I65=0,0,Hitung!$D$6*IF(Hitung!$C$6="Conquest",INDEX($AL$5:$AL$705,Q65+I65+1)-INDEX($AL$5:$AL$705,Q65+1),INDEX($AM$5:$AM$705,Q65+I65+1)-INDEX($AM$5:$AM$705,Q65+1)))</f>
        <v>0</v>
      </c>
      <c r="Z65" s="14">
        <f t="array" ref="Z65">IF(J65=0,0,Hitung!$D$7*IF(Hitung!$C$7="Conquest",INDEX($AL$5:$AL$705,R65+J65+1)-INDEX($AL$5:$AL$705,R65+1),INDEX($AM$5:$AM$705,R65+J65+1)-INDEX($AM$5:$AM$705,R65+1)))</f>
        <v>2340000</v>
      </c>
      <c r="AA65" s="14">
        <f t="array" ref="AA65">IF(K65=0,0,Hitung!$D$8*IF(Hitung!$C$8="Conquest",INDEX($AL$5:$AL$705,S65+K65+1)-INDEX($AL$5:$AL$705,S65+1),INDEX($AM$5:$AM$705,S65+K65+1)-INDEX($AM$5:$AM$705,S65+1)))</f>
        <v>0</v>
      </c>
      <c r="AB65" s="14">
        <f t="array" ref="AB65">IF(L65=0,0,Hitung!$D$9*IF(Hitung!$C$9="Conquest",INDEX($AL$5:$AL$705,T65+L65+1)-INDEX($AL$5:$AL$705,T65+1),INDEX($AM$5:$AM$705,T65+L65+1)-INDEX($AM$5:$AM$705,T65+1)))</f>
        <v>0</v>
      </c>
      <c r="AC65" s="14">
        <f t="array" ref="AC65">IF(M65=0,0,Hitung!$D$10*IF(Hitung!$C$10="Conquest",INDEX($AL$5:$AL$705,U65+M65+1)-INDEX($AL$5:$AL$705,U65+1),INDEX($AM$5:$AM$705,U65+M65+1)-INDEX($AM$5:$AM$705,U65+1)))</f>
        <v>35712000</v>
      </c>
      <c r="AD65" s="14">
        <f t="array" ref="AD65">IF(N65=0,0,Hitung!$D$11*IF(Hitung!$C$11="Conquest",INDEX($AL$5:$AL$705,V65+N65+1)-INDEX($AL$5:$AL$705,V65+1),INDEX($AM$5:$AM$705,V65+N65+1)-INDEX($AM$5:$AM$705,V65+1)))</f>
        <v>0</v>
      </c>
      <c r="AE65" s="14">
        <f t="array" ref="AE65">IF(O65=0,0,Hitung!$D$12*IF(Hitung!$C$12="Conquest",INDEX($AL$5:$AL$705,W65+O65+1)-INDEX($AL$5:$AL$705,W65+1),INDEX($AM$5:$AM$705,W65+O65+1)-INDEX($AM$5:$AM$705,W65+1)))</f>
        <v>0</v>
      </c>
      <c r="AF65" s="14">
        <f t="shared" si="9"/>
        <v>68292000</v>
      </c>
      <c r="AG65" s="14">
        <f>IF(E65=1,AF65-Hitung!$AO$13,0)</f>
        <v>2592000</v>
      </c>
      <c r="AH65" s="73">
        <f>IF(E65=1,Hitung!E10-Hitung!B22,0)</f>
        <v>896</v>
      </c>
      <c r="AI65" s="14">
        <f t="shared" si="10"/>
        <v>2892.857143</v>
      </c>
      <c r="AK65" s="14">
        <v>60.0</v>
      </c>
      <c r="AL65" s="14">
        <f>AL64+SUMIFS(Setting!$E$30:$E$39,Setting!$A$30:$A$39,AL$4,Setting!$C$30:$C$39,"&lt;="&amp;($AK65-1),Setting!$D$30:$D$39,"&gt;="&amp;($AK65-1))</f>
        <v>60</v>
      </c>
      <c r="AM65" s="14">
        <f>AM64+SUMIFS(Setting!$E$30:$E$39,Setting!$A$30:$A$39,AM$4,Setting!$C$30:$C$39,"&lt;="&amp;($AK65-1),Setting!$D$30:$D$39,"&gt;="&amp;($AK65-1))</f>
        <v>59.2</v>
      </c>
    </row>
    <row r="66" ht="15.75" customHeight="1">
      <c r="A66" s="14">
        <v>6.0</v>
      </c>
      <c r="B66" s="14">
        <v>7.0</v>
      </c>
      <c r="C66" s="14" t="str">
        <f>Hitung!A22</f>
        <v>Seneca</v>
      </c>
      <c r="D66" s="14" t="str">
        <f>Hitung!B11</f>
        <v/>
      </c>
      <c r="E66" s="14">
        <f>IF(AND(C66&lt;&gt;"",D66&lt;&gt;"",Hitung!B22&gt;0,Hitung!E11&gt;Hitung!B22,G66&lt;&gt;B66,F66&gt;0),1,0)</f>
        <v>0</v>
      </c>
      <c r="F66" s="25">
        <f>Hitung!D22</f>
        <v>21</v>
      </c>
      <c r="G66" s="14">
        <f>Hitung!X22</f>
        <v>3</v>
      </c>
      <c r="H66" s="14">
        <f>Hitung!$M$5-IF($G66=1,$F66,0)+IF($B66=1,$F66,0)</f>
        <v>105</v>
      </c>
      <c r="I66" s="14">
        <f>Hitung!$M$6-IF($G66=2,$F66,0)+IF($B66=2,$F66,0)</f>
        <v>0</v>
      </c>
      <c r="J66" s="25">
        <f>Hitung!$M$7-IF($G66=3,$F66,0)+IF($B66=3,$F66,0)</f>
        <v>21</v>
      </c>
      <c r="K66" s="14">
        <f>Hitung!$M$8-IF($G66=4,$F66,0)+IF($B66=4,$F66,0)</f>
        <v>0</v>
      </c>
      <c r="L66" s="14">
        <f>Hitung!$M$9-IF($G66=5,$F66,0)+IF($B66=5,$F66,0)</f>
        <v>0</v>
      </c>
      <c r="M66" s="14">
        <f>Hitung!$M$10-IF($G66=6,$F66,0)+IF($B66=6,$F66,0)</f>
        <v>61</v>
      </c>
      <c r="N66" s="25">
        <f>Hitung!$M$11-IF($G66=7,$F66,0)+IF($B66=7,$F66,0)</f>
        <v>21</v>
      </c>
      <c r="O66" s="14">
        <f>Hitung!$M$12-IF($G66=8,$F66,0)+IF($B66=8,$F66,0)</f>
        <v>0</v>
      </c>
      <c r="P66" s="14">
        <f t="shared" si="1"/>
        <v>0</v>
      </c>
      <c r="Q66" s="14">
        <f t="shared" si="2"/>
        <v>0</v>
      </c>
      <c r="R66" s="14">
        <f t="shared" si="3"/>
        <v>61</v>
      </c>
      <c r="S66" s="14">
        <f t="shared" si="4"/>
        <v>61</v>
      </c>
      <c r="T66" s="14">
        <f t="shared" si="5"/>
        <v>61</v>
      </c>
      <c r="U66" s="14">
        <f t="shared" si="6"/>
        <v>0</v>
      </c>
      <c r="V66" s="14">
        <f t="shared" si="7"/>
        <v>0</v>
      </c>
      <c r="W66" s="14">
        <f t="shared" si="8"/>
        <v>0</v>
      </c>
      <c r="X66" s="14">
        <f t="array" ref="X66">IF(H66=0,0,Hitung!$D$5*IF(Hitung!$C$5="Conquest",INDEX($AL$5:$AL$705,P66+H66+1)-INDEX($AL$5:$AL$705,P66+1),INDEX($AM$5:$AM$705,P66+H66+1)-INDEX($AM$5:$AM$705,P66+1)))</f>
        <v>30240000</v>
      </c>
      <c r="Y66" s="14">
        <f t="array" ref="Y66">IF(I66=0,0,Hitung!$D$6*IF(Hitung!$C$6="Conquest",INDEX($AL$5:$AL$705,Q66+I66+1)-INDEX($AL$5:$AL$705,Q66+1),INDEX($AM$5:$AM$705,Q66+I66+1)-INDEX($AM$5:$AM$705,Q66+1)))</f>
        <v>0</v>
      </c>
      <c r="Z66" s="14">
        <f t="array" ref="Z66">IF(J66=0,0,Hitung!$D$7*IF(Hitung!$C$7="Conquest",INDEX($AL$5:$AL$705,R66+J66+1)-INDEX($AL$5:$AL$705,R66+1),INDEX($AM$5:$AM$705,R66+J66+1)-INDEX($AM$5:$AM$705,R66+1)))</f>
        <v>4320000</v>
      </c>
      <c r="AA66" s="14">
        <f t="array" ref="AA66">IF(K66=0,0,Hitung!$D$8*IF(Hitung!$C$8="Conquest",INDEX($AL$5:$AL$705,S66+K66+1)-INDEX($AL$5:$AL$705,S66+1),INDEX($AM$5:$AM$705,S66+K66+1)-INDEX($AM$5:$AM$705,S66+1)))</f>
        <v>0</v>
      </c>
      <c r="AB66" s="14">
        <f t="array" ref="AB66">IF(L66=0,0,Hitung!$D$9*IF(Hitung!$C$9="Conquest",INDEX($AL$5:$AL$705,T66+L66+1)-INDEX($AL$5:$AL$705,T66+1),INDEX($AM$5:$AM$705,T66+L66+1)-INDEX($AM$5:$AM$705,T66+1)))</f>
        <v>0</v>
      </c>
      <c r="AC66" s="14">
        <f t="array" ref="AC66">IF(M66=0,0,Hitung!$D$10*IF(Hitung!$C$10="Conquest",INDEX($AL$5:$AL$705,U66+M66+1)-INDEX($AL$5:$AL$705,U66+1),INDEX($AM$5:$AM$705,U66+M66+1)-INDEX($AM$5:$AM$705,U66+1)))</f>
        <v>28800000</v>
      </c>
      <c r="AD66" s="14">
        <f t="array" ref="AD66">IF(N66=0,0,Hitung!$D$11*IF(Hitung!$C$11="Conquest",INDEX($AL$5:$AL$705,V66+N66+1)-INDEX($AL$5:$AL$705,V66+1),INDEX($AM$5:$AM$705,V66+N66+1)-INDEX($AM$5:$AM$705,V66+1)))</f>
        <v>0</v>
      </c>
      <c r="AE66" s="14">
        <f t="array" ref="AE66">IF(O66=0,0,Hitung!$D$12*IF(Hitung!$C$12="Conquest",INDEX($AL$5:$AL$705,W66+O66+1)-INDEX($AL$5:$AL$705,W66+1),INDEX($AM$5:$AM$705,W66+O66+1)-INDEX($AM$5:$AM$705,W66+1)))</f>
        <v>0</v>
      </c>
      <c r="AF66" s="14">
        <f t="shared" si="9"/>
        <v>63360000</v>
      </c>
      <c r="AG66" s="14">
        <f>IF(E66=1,AF66-Hitung!$AO$13,0)</f>
        <v>0</v>
      </c>
      <c r="AH66" s="14">
        <f>IF(E66=1,Hitung!E11-Hitung!B22,0)</f>
        <v>0</v>
      </c>
      <c r="AI66" s="14">
        <f t="shared" si="10"/>
        <v>0</v>
      </c>
      <c r="AK66" s="14">
        <v>61.0</v>
      </c>
      <c r="AL66" s="14">
        <f>AL65+SUMIFS(Setting!$E$30:$E$39,Setting!$A$30:$A$39,AL$4,Setting!$C$30:$C$39,"&lt;="&amp;($AK66-1),Setting!$D$30:$D$39,"&gt;="&amp;($AK66-1))</f>
        <v>61</v>
      </c>
      <c r="AM66" s="14">
        <f>AM65+SUMIFS(Setting!$E$30:$E$39,Setting!$A$30:$A$39,AM$4,Setting!$C$30:$C$39,"&lt;="&amp;($AK66-1),Setting!$D$30:$D$39,"&gt;="&amp;($AK66-1))</f>
        <v>60</v>
      </c>
    </row>
    <row r="67" ht="15.75" customHeight="1">
      <c r="A67" s="14">
        <v>6.0</v>
      </c>
      <c r="B67" s="14">
        <v>8.0</v>
      </c>
      <c r="C67" s="14" t="str">
        <f>Hitung!A22</f>
        <v>Seneca</v>
      </c>
      <c r="D67" s="14" t="str">
        <f>Hitung!B12</f>
        <v/>
      </c>
      <c r="E67" s="14">
        <f>IF(AND(C67&lt;&gt;"",D67&lt;&gt;"",Hitung!B22&gt;0,Hitung!E12&gt;Hitung!B22,G67&lt;&gt;B67,F67&gt;0),1,0)</f>
        <v>0</v>
      </c>
      <c r="F67" s="25">
        <f>Hitung!D22</f>
        <v>21</v>
      </c>
      <c r="G67" s="14">
        <f>Hitung!X22</f>
        <v>3</v>
      </c>
      <c r="H67" s="14">
        <f>Hitung!$M$5-IF($G67=1,$F67,0)+IF($B67=1,$F67,0)</f>
        <v>105</v>
      </c>
      <c r="I67" s="14">
        <f>Hitung!$M$6-IF($G67=2,$F67,0)+IF($B67=2,$F67,0)</f>
        <v>0</v>
      </c>
      <c r="J67" s="25">
        <f>Hitung!$M$7-IF($G67=3,$F67,0)+IF($B67=3,$F67,0)</f>
        <v>21</v>
      </c>
      <c r="K67" s="14">
        <f>Hitung!$M$8-IF($G67=4,$F67,0)+IF($B67=4,$F67,0)</f>
        <v>0</v>
      </c>
      <c r="L67" s="14">
        <f>Hitung!$M$9-IF($G67=5,$F67,0)+IF($B67=5,$F67,0)</f>
        <v>0</v>
      </c>
      <c r="M67" s="14">
        <f>Hitung!$M$10-IF($G67=6,$F67,0)+IF($B67=6,$F67,0)</f>
        <v>61</v>
      </c>
      <c r="N67" s="14">
        <f>Hitung!$M$11-IF($G67=7,$F67,0)+IF($B67=7,$F67,0)</f>
        <v>0</v>
      </c>
      <c r="O67" s="25">
        <f>Hitung!$M$12-IF($G67=8,$F67,0)+IF($B67=8,$F67,0)</f>
        <v>21</v>
      </c>
      <c r="P67" s="14">
        <f t="shared" si="1"/>
        <v>0</v>
      </c>
      <c r="Q67" s="14">
        <f t="shared" si="2"/>
        <v>0</v>
      </c>
      <c r="R67" s="14">
        <f t="shared" si="3"/>
        <v>61</v>
      </c>
      <c r="S67" s="14">
        <f t="shared" si="4"/>
        <v>61</v>
      </c>
      <c r="T67" s="14">
        <f t="shared" si="5"/>
        <v>61</v>
      </c>
      <c r="U67" s="14">
        <f t="shared" si="6"/>
        <v>0</v>
      </c>
      <c r="V67" s="14">
        <f t="shared" si="7"/>
        <v>0</v>
      </c>
      <c r="W67" s="14">
        <f t="shared" si="8"/>
        <v>0</v>
      </c>
      <c r="X67" s="14">
        <f t="array" ref="X67">IF(H67=0,0,Hitung!$D$5*IF(Hitung!$C$5="Conquest",INDEX($AL$5:$AL$705,P67+H67+1)-INDEX($AL$5:$AL$705,P67+1),INDEX($AM$5:$AM$705,P67+H67+1)-INDEX($AM$5:$AM$705,P67+1)))</f>
        <v>30240000</v>
      </c>
      <c r="Y67" s="14">
        <f t="array" ref="Y67">IF(I67=0,0,Hitung!$D$6*IF(Hitung!$C$6="Conquest",INDEX($AL$5:$AL$705,Q67+I67+1)-INDEX($AL$5:$AL$705,Q67+1),INDEX($AM$5:$AM$705,Q67+I67+1)-INDEX($AM$5:$AM$705,Q67+1)))</f>
        <v>0</v>
      </c>
      <c r="Z67" s="14">
        <f t="array" ref="Z67">IF(J67=0,0,Hitung!$D$7*IF(Hitung!$C$7="Conquest",INDEX($AL$5:$AL$705,R67+J67+1)-INDEX($AL$5:$AL$705,R67+1),INDEX($AM$5:$AM$705,R67+J67+1)-INDEX($AM$5:$AM$705,R67+1)))</f>
        <v>4320000</v>
      </c>
      <c r="AA67" s="14">
        <f t="array" ref="AA67">IF(K67=0,0,Hitung!$D$8*IF(Hitung!$C$8="Conquest",INDEX($AL$5:$AL$705,S67+K67+1)-INDEX($AL$5:$AL$705,S67+1),INDEX($AM$5:$AM$705,S67+K67+1)-INDEX($AM$5:$AM$705,S67+1)))</f>
        <v>0</v>
      </c>
      <c r="AB67" s="14">
        <f t="array" ref="AB67">IF(L67=0,0,Hitung!$D$9*IF(Hitung!$C$9="Conquest",INDEX($AL$5:$AL$705,T67+L67+1)-INDEX($AL$5:$AL$705,T67+1),INDEX($AM$5:$AM$705,T67+L67+1)-INDEX($AM$5:$AM$705,T67+1)))</f>
        <v>0</v>
      </c>
      <c r="AC67" s="14">
        <f t="array" ref="AC67">IF(M67=0,0,Hitung!$D$10*IF(Hitung!$C$10="Conquest",INDEX($AL$5:$AL$705,U67+M67+1)-INDEX($AL$5:$AL$705,U67+1),INDEX($AM$5:$AM$705,U67+M67+1)-INDEX($AM$5:$AM$705,U67+1)))</f>
        <v>28800000</v>
      </c>
      <c r="AD67" s="14">
        <f t="array" ref="AD67">IF(N67=0,0,Hitung!$D$11*IF(Hitung!$C$11="Conquest",INDEX($AL$5:$AL$705,V67+N67+1)-INDEX($AL$5:$AL$705,V67+1),INDEX($AM$5:$AM$705,V67+N67+1)-INDEX($AM$5:$AM$705,V67+1)))</f>
        <v>0</v>
      </c>
      <c r="AE67" s="14">
        <f t="array" ref="AE67">IF(O67=0,0,Hitung!$D$12*IF(Hitung!$C$12="Conquest",INDEX($AL$5:$AL$705,W67+O67+1)-INDEX($AL$5:$AL$705,W67+1),INDEX($AM$5:$AM$705,W67+O67+1)-INDEX($AM$5:$AM$705,W67+1)))</f>
        <v>0</v>
      </c>
      <c r="AF67" s="14">
        <f t="shared" si="9"/>
        <v>63360000</v>
      </c>
      <c r="AG67" s="14">
        <f>IF(E67=1,AF67-Hitung!$AO$13,0)</f>
        <v>0</v>
      </c>
      <c r="AH67" s="14">
        <f>IF(E67=1,Hitung!E12-Hitung!B22,0)</f>
        <v>0</v>
      </c>
      <c r="AI67" s="14">
        <f t="shared" si="10"/>
        <v>0</v>
      </c>
      <c r="AK67" s="14">
        <v>62.0</v>
      </c>
      <c r="AL67" s="14">
        <f>AL66+SUMIFS(Setting!$E$30:$E$39,Setting!$A$30:$A$39,AL$4,Setting!$C$30:$C$39,"&lt;="&amp;($AK67-1),Setting!$D$30:$D$39,"&gt;="&amp;($AK67-1))</f>
        <v>62</v>
      </c>
      <c r="AM67" s="14">
        <f>AM66+SUMIFS(Setting!$E$30:$E$39,Setting!$A$30:$A$39,AM$4,Setting!$C$30:$C$39,"&lt;="&amp;($AK67-1),Setting!$D$30:$D$39,"&gt;="&amp;($AK67-1))</f>
        <v>60.8</v>
      </c>
    </row>
    <row r="68" ht="15.75" customHeight="1">
      <c r="A68" s="14">
        <v>7.0</v>
      </c>
      <c r="B68" s="14">
        <v>1.0</v>
      </c>
      <c r="C68" s="14" t="str">
        <f>Hitung!A23</f>
        <v>Averroes</v>
      </c>
      <c r="D68" s="14" t="str">
        <f>Hitung!B5</f>
        <v>T2</v>
      </c>
      <c r="E68" s="14">
        <f>IF(AND(C68&lt;&gt;"",D68&lt;&gt;"",Hitung!B23&gt;0,Hitung!E5&gt;Hitung!B23,G68&lt;&gt;B68,F68&gt;0),1,0)</f>
        <v>0</v>
      </c>
      <c r="F68" s="25">
        <f>Hitung!D23</f>
        <v>21</v>
      </c>
      <c r="G68" s="14">
        <f>Hitung!X23</f>
        <v>1</v>
      </c>
      <c r="H68" s="25">
        <f>Hitung!$M$5-IF($G68=1,$F68,0)+IF($B68=1,$F68,0)</f>
        <v>105</v>
      </c>
      <c r="I68" s="14">
        <f>Hitung!$M$6-IF($G68=2,$F68,0)+IF($B68=2,$F68,0)</f>
        <v>0</v>
      </c>
      <c r="J68" s="14">
        <f>Hitung!$M$7-IF($G68=3,$F68,0)+IF($B68=3,$F68,0)</f>
        <v>42</v>
      </c>
      <c r="K68" s="14">
        <f>Hitung!$M$8-IF($G68=4,$F68,0)+IF($B68=4,$F68,0)</f>
        <v>0</v>
      </c>
      <c r="L68" s="14">
        <f>Hitung!$M$9-IF($G68=5,$F68,0)+IF($B68=5,$F68,0)</f>
        <v>0</v>
      </c>
      <c r="M68" s="14">
        <f>Hitung!$M$10-IF($G68=6,$F68,0)+IF($B68=6,$F68,0)</f>
        <v>61</v>
      </c>
      <c r="N68" s="14">
        <f>Hitung!$M$11-IF($G68=7,$F68,0)+IF($B68=7,$F68,0)</f>
        <v>0</v>
      </c>
      <c r="O68" s="14">
        <f>Hitung!$M$12-IF($G68=8,$F68,0)+IF($B68=8,$F68,0)</f>
        <v>0</v>
      </c>
      <c r="P68" s="14">
        <f t="shared" si="1"/>
        <v>0</v>
      </c>
      <c r="Q68" s="14">
        <f t="shared" si="2"/>
        <v>0</v>
      </c>
      <c r="R68" s="14">
        <f t="shared" si="3"/>
        <v>61</v>
      </c>
      <c r="S68" s="14">
        <f t="shared" si="4"/>
        <v>61</v>
      </c>
      <c r="T68" s="14">
        <f t="shared" si="5"/>
        <v>61</v>
      </c>
      <c r="U68" s="14">
        <f t="shared" si="6"/>
        <v>0</v>
      </c>
      <c r="V68" s="14">
        <f t="shared" si="7"/>
        <v>0</v>
      </c>
      <c r="W68" s="14">
        <f t="shared" si="8"/>
        <v>0</v>
      </c>
      <c r="X68" s="14">
        <f t="array" ref="X68">IF(H68=0,0,Hitung!$D$5*IF(Hitung!$C$5="Conquest",INDEX($AL$5:$AL$705,P68+H68+1)-INDEX($AL$5:$AL$705,P68+1),INDEX($AM$5:$AM$705,P68+H68+1)-INDEX($AM$5:$AM$705,P68+1)))</f>
        <v>30240000</v>
      </c>
      <c r="Y68" s="14">
        <f t="array" ref="Y68">IF(I68=0,0,Hitung!$D$6*IF(Hitung!$C$6="Conquest",INDEX($AL$5:$AL$705,Q68+I68+1)-INDEX($AL$5:$AL$705,Q68+1),INDEX($AM$5:$AM$705,Q68+I68+1)-INDEX($AM$5:$AM$705,Q68+1)))</f>
        <v>0</v>
      </c>
      <c r="Z68" s="14">
        <f t="array" ref="Z68">IF(J68=0,0,Hitung!$D$7*IF(Hitung!$C$7="Conquest",INDEX($AL$5:$AL$705,R68+J68+1)-INDEX($AL$5:$AL$705,R68+1),INDEX($AM$5:$AM$705,R68+J68+1)-INDEX($AM$5:$AM$705,R68+1)))</f>
        <v>6660000</v>
      </c>
      <c r="AA68" s="14">
        <f t="array" ref="AA68">IF(K68=0,0,Hitung!$D$8*IF(Hitung!$C$8="Conquest",INDEX($AL$5:$AL$705,S68+K68+1)-INDEX($AL$5:$AL$705,S68+1),INDEX($AM$5:$AM$705,S68+K68+1)-INDEX($AM$5:$AM$705,S68+1)))</f>
        <v>0</v>
      </c>
      <c r="AB68" s="14">
        <f t="array" ref="AB68">IF(L68=0,0,Hitung!$D$9*IF(Hitung!$C$9="Conquest",INDEX($AL$5:$AL$705,T68+L68+1)-INDEX($AL$5:$AL$705,T68+1),INDEX($AM$5:$AM$705,T68+L68+1)-INDEX($AM$5:$AM$705,T68+1)))</f>
        <v>0</v>
      </c>
      <c r="AC68" s="14">
        <f t="array" ref="AC68">IF(M68=0,0,Hitung!$D$10*IF(Hitung!$C$10="Conquest",INDEX($AL$5:$AL$705,U68+M68+1)-INDEX($AL$5:$AL$705,U68+1),INDEX($AM$5:$AM$705,U68+M68+1)-INDEX($AM$5:$AM$705,U68+1)))</f>
        <v>28800000</v>
      </c>
      <c r="AD68" s="14">
        <f t="array" ref="AD68">IF(N68=0,0,Hitung!$D$11*IF(Hitung!$C$11="Conquest",INDEX($AL$5:$AL$705,V68+N68+1)-INDEX($AL$5:$AL$705,V68+1),INDEX($AM$5:$AM$705,V68+N68+1)-INDEX($AM$5:$AM$705,V68+1)))</f>
        <v>0</v>
      </c>
      <c r="AE68" s="14">
        <f t="array" ref="AE68">IF(O68=0,0,Hitung!$D$12*IF(Hitung!$C$12="Conquest",INDEX($AL$5:$AL$705,W68+O68+1)-INDEX($AL$5:$AL$705,W68+1),INDEX($AM$5:$AM$705,W68+O68+1)-INDEX($AM$5:$AM$705,W68+1)))</f>
        <v>0</v>
      </c>
      <c r="AF68" s="14">
        <f t="shared" si="9"/>
        <v>65700000</v>
      </c>
      <c r="AG68" s="14">
        <f>IF(E68=1,AF68-Hitung!$AO$13,0)</f>
        <v>0</v>
      </c>
      <c r="AH68" s="14">
        <f>IF(E68=1,Hitung!E5-Hitung!B23,0)</f>
        <v>0</v>
      </c>
      <c r="AI68" s="14">
        <f t="shared" si="10"/>
        <v>0</v>
      </c>
      <c r="AK68" s="14">
        <v>63.0</v>
      </c>
      <c r="AL68" s="14">
        <f>AL67+SUMIFS(Setting!$E$30:$E$39,Setting!$A$30:$A$39,AL$4,Setting!$C$30:$C$39,"&lt;="&amp;($AK68-1),Setting!$D$30:$D$39,"&gt;="&amp;($AK68-1))</f>
        <v>63</v>
      </c>
      <c r="AM68" s="14">
        <f>AM67+SUMIFS(Setting!$E$30:$E$39,Setting!$A$30:$A$39,AM$4,Setting!$C$30:$C$39,"&lt;="&amp;($AK68-1),Setting!$D$30:$D$39,"&gt;="&amp;($AK68-1))</f>
        <v>61.6</v>
      </c>
    </row>
    <row r="69" ht="15.75" customHeight="1">
      <c r="A69" s="14">
        <v>7.0</v>
      </c>
      <c r="B69" s="14">
        <v>2.0</v>
      </c>
      <c r="C69" s="14" t="str">
        <f>Hitung!A23</f>
        <v>Averroes</v>
      </c>
      <c r="D69" s="14" t="str">
        <f>Hitung!B6</f>
        <v>T3</v>
      </c>
      <c r="E69" s="14">
        <f>IF(AND(C69&lt;&gt;"",D69&lt;&gt;"",Hitung!B23&gt;0,Hitung!E6&gt;Hitung!B23,G69&lt;&gt;B69,F69&gt;0),1,0)</f>
        <v>1</v>
      </c>
      <c r="F69" s="25">
        <f>Hitung!D23</f>
        <v>21</v>
      </c>
      <c r="G69" s="14">
        <f>Hitung!X23</f>
        <v>1</v>
      </c>
      <c r="H69" s="25">
        <f>Hitung!$M$5-IF($G69=1,$F69,0)+IF($B69=1,$F69,0)</f>
        <v>84</v>
      </c>
      <c r="I69" s="25">
        <f>Hitung!$M$6-IF($G69=2,$F69,0)+IF($B69=2,$F69,0)</f>
        <v>21</v>
      </c>
      <c r="J69" s="14">
        <f>Hitung!$M$7-IF($G69=3,$F69,0)+IF($B69=3,$F69,0)</f>
        <v>42</v>
      </c>
      <c r="K69" s="14">
        <f>Hitung!$M$8-IF($G69=4,$F69,0)+IF($B69=4,$F69,0)</f>
        <v>0</v>
      </c>
      <c r="L69" s="14">
        <f>Hitung!$M$9-IF($G69=5,$F69,0)+IF($B69=5,$F69,0)</f>
        <v>0</v>
      </c>
      <c r="M69" s="14">
        <f>Hitung!$M$10-IF($G69=6,$F69,0)+IF($B69=6,$F69,0)</f>
        <v>61</v>
      </c>
      <c r="N69" s="14">
        <f>Hitung!$M$11-IF($G69=7,$F69,0)+IF($B69=7,$F69,0)</f>
        <v>0</v>
      </c>
      <c r="O69" s="14">
        <f>Hitung!$M$12-IF($G69=8,$F69,0)+IF($B69=8,$F69,0)</f>
        <v>0</v>
      </c>
      <c r="P69" s="14">
        <f t="shared" si="1"/>
        <v>21</v>
      </c>
      <c r="Q69" s="14">
        <f t="shared" si="2"/>
        <v>0</v>
      </c>
      <c r="R69" s="14">
        <f t="shared" si="3"/>
        <v>61</v>
      </c>
      <c r="S69" s="14">
        <f t="shared" si="4"/>
        <v>61</v>
      </c>
      <c r="T69" s="14">
        <f t="shared" si="5"/>
        <v>61</v>
      </c>
      <c r="U69" s="14">
        <f t="shared" si="6"/>
        <v>0</v>
      </c>
      <c r="V69" s="14">
        <f t="shared" si="7"/>
        <v>0</v>
      </c>
      <c r="W69" s="14">
        <f t="shared" si="8"/>
        <v>0</v>
      </c>
      <c r="X69" s="14">
        <f t="array" ref="X69">IF(H69=0,0,Hitung!$D$5*IF(Hitung!$C$5="Conquest",INDEX($AL$5:$AL$705,P69+H69+1)-INDEX($AL$5:$AL$705,P69+1),INDEX($AM$5:$AM$705,P69+H69+1)-INDEX($AM$5:$AM$705,P69+1)))</f>
        <v>23940000</v>
      </c>
      <c r="Y69" s="14">
        <f t="array" ref="Y69">IF(I69=0,0,Hitung!$D$6*IF(Hitung!$C$6="Conquest",INDEX($AL$5:$AL$705,Q69+I69+1)-INDEX($AL$5:$AL$705,Q69+1),INDEX($AM$5:$AM$705,Q69+I69+1)-INDEX($AM$5:$AM$705,Q69+1)))</f>
        <v>8400000</v>
      </c>
      <c r="Z69" s="14">
        <f t="array" ref="Z69">IF(J69=0,0,Hitung!$D$7*IF(Hitung!$C$7="Conquest",INDEX($AL$5:$AL$705,R69+J69+1)-INDEX($AL$5:$AL$705,R69+1),INDEX($AM$5:$AM$705,R69+J69+1)-INDEX($AM$5:$AM$705,R69+1)))</f>
        <v>6660000</v>
      </c>
      <c r="AA69" s="14">
        <f t="array" ref="AA69">IF(K69=0,0,Hitung!$D$8*IF(Hitung!$C$8="Conquest",INDEX($AL$5:$AL$705,S69+K69+1)-INDEX($AL$5:$AL$705,S69+1),INDEX($AM$5:$AM$705,S69+K69+1)-INDEX($AM$5:$AM$705,S69+1)))</f>
        <v>0</v>
      </c>
      <c r="AB69" s="14">
        <f t="array" ref="AB69">IF(L69=0,0,Hitung!$D$9*IF(Hitung!$C$9="Conquest",INDEX($AL$5:$AL$705,T69+L69+1)-INDEX($AL$5:$AL$705,T69+1),INDEX($AM$5:$AM$705,T69+L69+1)-INDEX($AM$5:$AM$705,T69+1)))</f>
        <v>0</v>
      </c>
      <c r="AC69" s="14">
        <f t="array" ref="AC69">IF(M69=0,0,Hitung!$D$10*IF(Hitung!$C$10="Conquest",INDEX($AL$5:$AL$705,U69+M69+1)-INDEX($AL$5:$AL$705,U69+1),INDEX($AM$5:$AM$705,U69+M69+1)-INDEX($AM$5:$AM$705,U69+1)))</f>
        <v>28800000</v>
      </c>
      <c r="AD69" s="14">
        <f t="array" ref="AD69">IF(N69=0,0,Hitung!$D$11*IF(Hitung!$C$11="Conquest",INDEX($AL$5:$AL$705,V69+N69+1)-INDEX($AL$5:$AL$705,V69+1),INDEX($AM$5:$AM$705,V69+N69+1)-INDEX($AM$5:$AM$705,V69+1)))</f>
        <v>0</v>
      </c>
      <c r="AE69" s="14">
        <f t="array" ref="AE69">IF(O69=0,0,Hitung!$D$12*IF(Hitung!$C$12="Conquest",INDEX($AL$5:$AL$705,W69+O69+1)-INDEX($AL$5:$AL$705,W69+1),INDEX($AM$5:$AM$705,W69+O69+1)-INDEX($AM$5:$AM$705,W69+1)))</f>
        <v>0</v>
      </c>
      <c r="AF69" s="14">
        <f t="shared" si="9"/>
        <v>67800000</v>
      </c>
      <c r="AG69" s="14">
        <f>IF(E69=1,AF69-Hitung!$AO$13,0)</f>
        <v>2100000</v>
      </c>
      <c r="AH69" s="73">
        <f>IF(E69=1,Hitung!E6-Hitung!B23,0)</f>
        <v>505</v>
      </c>
      <c r="AI69" s="14">
        <f t="shared" si="10"/>
        <v>4158.415842</v>
      </c>
      <c r="AK69" s="14">
        <v>64.0</v>
      </c>
      <c r="AL69" s="14">
        <f>AL68+SUMIFS(Setting!$E$30:$E$39,Setting!$A$30:$A$39,AL$4,Setting!$C$30:$C$39,"&lt;="&amp;($AK69-1),Setting!$D$30:$D$39,"&gt;="&amp;($AK69-1))</f>
        <v>64</v>
      </c>
      <c r="AM69" s="14">
        <f>AM68+SUMIFS(Setting!$E$30:$E$39,Setting!$A$30:$A$39,AM$4,Setting!$C$30:$C$39,"&lt;="&amp;($AK69-1),Setting!$D$30:$D$39,"&gt;="&amp;($AK69-1))</f>
        <v>62.4</v>
      </c>
    </row>
    <row r="70" ht="15.75" customHeight="1">
      <c r="A70" s="14">
        <v>7.0</v>
      </c>
      <c r="B70" s="14">
        <v>3.0</v>
      </c>
      <c r="C70" s="14" t="str">
        <f>Hitung!A23</f>
        <v>Averroes</v>
      </c>
      <c r="D70" s="14" t="str">
        <f>Hitung!B7</f>
        <v>S1</v>
      </c>
      <c r="E70" s="14">
        <f>IF(AND(C70&lt;&gt;"",D70&lt;&gt;"",Hitung!B23&gt;0,Hitung!E7&gt;Hitung!B23,G70&lt;&gt;B70,F70&gt;0),1,0)</f>
        <v>1</v>
      </c>
      <c r="F70" s="25">
        <f>Hitung!D23</f>
        <v>21</v>
      </c>
      <c r="G70" s="14">
        <f>Hitung!X23</f>
        <v>1</v>
      </c>
      <c r="H70" s="25">
        <f>Hitung!$M$5-IF($G70=1,$F70,0)+IF($B70=1,$F70,0)</f>
        <v>84</v>
      </c>
      <c r="I70" s="14">
        <f>Hitung!$M$6-IF($G70=2,$F70,0)+IF($B70=2,$F70,0)</f>
        <v>0</v>
      </c>
      <c r="J70" s="25">
        <f>Hitung!$M$7-IF($G70=3,$F70,0)+IF($B70=3,$F70,0)</f>
        <v>63</v>
      </c>
      <c r="K70" s="14">
        <f>Hitung!$M$8-IF($G70=4,$F70,0)+IF($B70=4,$F70,0)</f>
        <v>0</v>
      </c>
      <c r="L70" s="14">
        <f>Hitung!$M$9-IF($G70=5,$F70,0)+IF($B70=5,$F70,0)</f>
        <v>0</v>
      </c>
      <c r="M70" s="14">
        <f>Hitung!$M$10-IF($G70=6,$F70,0)+IF($B70=6,$F70,0)</f>
        <v>61</v>
      </c>
      <c r="N70" s="14">
        <f>Hitung!$M$11-IF($G70=7,$F70,0)+IF($B70=7,$F70,0)</f>
        <v>0</v>
      </c>
      <c r="O70" s="14">
        <f>Hitung!$M$12-IF($G70=8,$F70,0)+IF($B70=8,$F70,0)</f>
        <v>0</v>
      </c>
      <c r="P70" s="14">
        <f t="shared" si="1"/>
        <v>0</v>
      </c>
      <c r="Q70" s="14">
        <f t="shared" si="2"/>
        <v>0</v>
      </c>
      <c r="R70" s="14">
        <f t="shared" si="3"/>
        <v>61</v>
      </c>
      <c r="S70" s="14">
        <f t="shared" si="4"/>
        <v>61</v>
      </c>
      <c r="T70" s="14">
        <f t="shared" si="5"/>
        <v>61</v>
      </c>
      <c r="U70" s="14">
        <f t="shared" si="6"/>
        <v>0</v>
      </c>
      <c r="V70" s="14">
        <f t="shared" si="7"/>
        <v>0</v>
      </c>
      <c r="W70" s="14">
        <f t="shared" si="8"/>
        <v>0</v>
      </c>
      <c r="X70" s="14">
        <f t="array" ref="X70">IF(H70=0,0,Hitung!$D$5*IF(Hitung!$C$5="Conquest",INDEX($AL$5:$AL$705,P70+H70+1)-INDEX($AL$5:$AL$705,P70+1),INDEX($AM$5:$AM$705,P70+H70+1)-INDEX($AM$5:$AM$705,P70+1)))</f>
        <v>25200000</v>
      </c>
      <c r="Y70" s="14">
        <f t="array" ref="Y70">IF(I70=0,0,Hitung!$D$6*IF(Hitung!$C$6="Conquest",INDEX($AL$5:$AL$705,Q70+I70+1)-INDEX($AL$5:$AL$705,Q70+1),INDEX($AM$5:$AM$705,Q70+I70+1)-INDEX($AM$5:$AM$705,Q70+1)))</f>
        <v>0</v>
      </c>
      <c r="Z70" s="14">
        <f t="array" ref="Z70">IF(J70=0,0,Hitung!$D$7*IF(Hitung!$C$7="Conquest",INDEX($AL$5:$AL$705,R70+J70+1)-INDEX($AL$5:$AL$705,R70+1),INDEX($AM$5:$AM$705,R70+J70+1)-INDEX($AM$5:$AM$705,R70+1)))</f>
        <v>7920000</v>
      </c>
      <c r="AA70" s="14">
        <f t="array" ref="AA70">IF(K70=0,0,Hitung!$D$8*IF(Hitung!$C$8="Conquest",INDEX($AL$5:$AL$705,S70+K70+1)-INDEX($AL$5:$AL$705,S70+1),INDEX($AM$5:$AM$705,S70+K70+1)-INDEX($AM$5:$AM$705,S70+1)))</f>
        <v>0</v>
      </c>
      <c r="AB70" s="14">
        <f t="array" ref="AB70">IF(L70=0,0,Hitung!$D$9*IF(Hitung!$C$9="Conquest",INDEX($AL$5:$AL$705,T70+L70+1)-INDEX($AL$5:$AL$705,T70+1),INDEX($AM$5:$AM$705,T70+L70+1)-INDEX($AM$5:$AM$705,T70+1)))</f>
        <v>0</v>
      </c>
      <c r="AC70" s="14">
        <f t="array" ref="AC70">IF(M70=0,0,Hitung!$D$10*IF(Hitung!$C$10="Conquest",INDEX($AL$5:$AL$705,U70+M70+1)-INDEX($AL$5:$AL$705,U70+1),INDEX($AM$5:$AM$705,U70+M70+1)-INDEX($AM$5:$AM$705,U70+1)))</f>
        <v>28800000</v>
      </c>
      <c r="AD70" s="14">
        <f t="array" ref="AD70">IF(N70=0,0,Hitung!$D$11*IF(Hitung!$C$11="Conquest",INDEX($AL$5:$AL$705,V70+N70+1)-INDEX($AL$5:$AL$705,V70+1),INDEX($AM$5:$AM$705,V70+N70+1)-INDEX($AM$5:$AM$705,V70+1)))</f>
        <v>0</v>
      </c>
      <c r="AE70" s="14">
        <f t="array" ref="AE70">IF(O70=0,0,Hitung!$D$12*IF(Hitung!$C$12="Conquest",INDEX($AL$5:$AL$705,W70+O70+1)-INDEX($AL$5:$AL$705,W70+1),INDEX($AM$5:$AM$705,W70+O70+1)-INDEX($AM$5:$AM$705,W70+1)))</f>
        <v>0</v>
      </c>
      <c r="AF70" s="14">
        <f t="shared" si="9"/>
        <v>61920000</v>
      </c>
      <c r="AG70" s="14">
        <f>IF(E70=1,AF70-Hitung!$AO$13,0)</f>
        <v>-3780000</v>
      </c>
      <c r="AH70" s="73">
        <f>IF(E70=1,Hitung!E7-Hitung!B23,0)</f>
        <v>5</v>
      </c>
      <c r="AI70" s="14">
        <f t="shared" si="10"/>
        <v>0</v>
      </c>
      <c r="AK70" s="14">
        <v>65.0</v>
      </c>
      <c r="AL70" s="14">
        <f>AL69+SUMIFS(Setting!$E$30:$E$39,Setting!$A$30:$A$39,AL$4,Setting!$C$30:$C$39,"&lt;="&amp;($AK70-1),Setting!$D$30:$D$39,"&gt;="&amp;($AK70-1))</f>
        <v>65</v>
      </c>
      <c r="AM70" s="14">
        <f>AM69+SUMIFS(Setting!$E$30:$E$39,Setting!$A$30:$A$39,AM$4,Setting!$C$30:$C$39,"&lt;="&amp;($AK70-1),Setting!$D$30:$D$39,"&gt;="&amp;($AK70-1))</f>
        <v>63.2</v>
      </c>
    </row>
    <row r="71" ht="15.75" customHeight="1">
      <c r="A71" s="14">
        <v>7.0</v>
      </c>
      <c r="B71" s="14">
        <v>4.0</v>
      </c>
      <c r="C71" s="14" t="str">
        <f>Hitung!A23</f>
        <v>Averroes</v>
      </c>
      <c r="D71" s="14" t="str">
        <f>Hitung!B8</f>
        <v>S2</v>
      </c>
      <c r="E71" s="14">
        <f>IF(AND(C71&lt;&gt;"",D71&lt;&gt;"",Hitung!B23&gt;0,Hitung!E8&gt;Hitung!B23,G71&lt;&gt;B71,F71&gt;0),1,0)</f>
        <v>1</v>
      </c>
      <c r="F71" s="25">
        <f>Hitung!D23</f>
        <v>21</v>
      </c>
      <c r="G71" s="14">
        <f>Hitung!X23</f>
        <v>1</v>
      </c>
      <c r="H71" s="25">
        <f>Hitung!$M$5-IF($G71=1,$F71,0)+IF($B71=1,$F71,0)</f>
        <v>84</v>
      </c>
      <c r="I71" s="14">
        <f>Hitung!$M$6-IF($G71=2,$F71,0)+IF($B71=2,$F71,0)</f>
        <v>0</v>
      </c>
      <c r="J71" s="14">
        <f>Hitung!$M$7-IF($G71=3,$F71,0)+IF($B71=3,$F71,0)</f>
        <v>42</v>
      </c>
      <c r="K71" s="25">
        <f>Hitung!$M$8-IF($G71=4,$F71,0)+IF($B71=4,$F71,0)</f>
        <v>21</v>
      </c>
      <c r="L71" s="14">
        <f>Hitung!$M$9-IF($G71=5,$F71,0)+IF($B71=5,$F71,0)</f>
        <v>0</v>
      </c>
      <c r="M71" s="14">
        <f>Hitung!$M$10-IF($G71=6,$F71,0)+IF($B71=6,$F71,0)</f>
        <v>61</v>
      </c>
      <c r="N71" s="14">
        <f>Hitung!$M$11-IF($G71=7,$F71,0)+IF($B71=7,$F71,0)</f>
        <v>0</v>
      </c>
      <c r="O71" s="14">
        <f>Hitung!$M$12-IF($G71=8,$F71,0)+IF($B71=8,$F71,0)</f>
        <v>0</v>
      </c>
      <c r="P71" s="14">
        <f t="shared" si="1"/>
        <v>0</v>
      </c>
      <c r="Q71" s="14">
        <f t="shared" si="2"/>
        <v>0</v>
      </c>
      <c r="R71" s="14">
        <f t="shared" si="3"/>
        <v>82</v>
      </c>
      <c r="S71" s="14">
        <f t="shared" si="4"/>
        <v>61</v>
      </c>
      <c r="T71" s="14">
        <f t="shared" si="5"/>
        <v>61</v>
      </c>
      <c r="U71" s="14">
        <f t="shared" si="6"/>
        <v>0</v>
      </c>
      <c r="V71" s="14">
        <f t="shared" si="7"/>
        <v>0</v>
      </c>
      <c r="W71" s="14">
        <f t="shared" si="8"/>
        <v>0</v>
      </c>
      <c r="X71" s="14">
        <f t="array" ref="X71">IF(H71=0,0,Hitung!$D$5*IF(Hitung!$C$5="Conquest",INDEX($AL$5:$AL$705,P71+H71+1)-INDEX($AL$5:$AL$705,P71+1),INDEX($AM$5:$AM$705,P71+H71+1)-INDEX($AM$5:$AM$705,P71+1)))</f>
        <v>25200000</v>
      </c>
      <c r="Y71" s="14">
        <f t="array" ref="Y71">IF(I71=0,0,Hitung!$D$6*IF(Hitung!$C$6="Conquest",INDEX($AL$5:$AL$705,Q71+I71+1)-INDEX($AL$5:$AL$705,Q71+1),INDEX($AM$5:$AM$705,Q71+I71+1)-INDEX($AM$5:$AM$705,Q71+1)))</f>
        <v>0</v>
      </c>
      <c r="Z71" s="14">
        <f t="array" ref="Z71">IF(J71=0,0,Hitung!$D$7*IF(Hitung!$C$7="Conquest",INDEX($AL$5:$AL$705,R71+J71+1)-INDEX($AL$5:$AL$705,R71+1),INDEX($AM$5:$AM$705,R71+J71+1)-INDEX($AM$5:$AM$705,R71+1)))</f>
        <v>3600000</v>
      </c>
      <c r="AA71" s="14">
        <f t="array" ref="AA71">IF(K71=0,0,Hitung!$D$8*IF(Hitung!$C$8="Conquest",INDEX($AL$5:$AL$705,S71+K71+1)-INDEX($AL$5:$AL$705,S71+1),INDEX($AM$5:$AM$705,S71+K71+1)-INDEX($AM$5:$AM$705,S71+1)))</f>
        <v>5184000</v>
      </c>
      <c r="AB71" s="14">
        <f t="array" ref="AB71">IF(L71=0,0,Hitung!$D$9*IF(Hitung!$C$9="Conquest",INDEX($AL$5:$AL$705,T71+L71+1)-INDEX($AL$5:$AL$705,T71+1),INDEX($AM$5:$AM$705,T71+L71+1)-INDEX($AM$5:$AM$705,T71+1)))</f>
        <v>0</v>
      </c>
      <c r="AC71" s="14">
        <f t="array" ref="AC71">IF(M71=0,0,Hitung!$D$10*IF(Hitung!$C$10="Conquest",INDEX($AL$5:$AL$705,U71+M71+1)-INDEX($AL$5:$AL$705,U71+1),INDEX($AM$5:$AM$705,U71+M71+1)-INDEX($AM$5:$AM$705,U71+1)))</f>
        <v>28800000</v>
      </c>
      <c r="AD71" s="14">
        <f t="array" ref="AD71">IF(N71=0,0,Hitung!$D$11*IF(Hitung!$C$11="Conquest",INDEX($AL$5:$AL$705,V71+N71+1)-INDEX($AL$5:$AL$705,V71+1),INDEX($AM$5:$AM$705,V71+N71+1)-INDEX($AM$5:$AM$705,V71+1)))</f>
        <v>0</v>
      </c>
      <c r="AE71" s="14">
        <f t="array" ref="AE71">IF(O71=0,0,Hitung!$D$12*IF(Hitung!$C$12="Conquest",INDEX($AL$5:$AL$705,W71+O71+1)-INDEX($AL$5:$AL$705,W71+1),INDEX($AM$5:$AM$705,W71+O71+1)-INDEX($AM$5:$AM$705,W71+1)))</f>
        <v>0</v>
      </c>
      <c r="AF71" s="14">
        <f t="shared" si="9"/>
        <v>62784000</v>
      </c>
      <c r="AG71" s="14">
        <f>IF(E71=1,AF71-Hitung!$AO$13,0)</f>
        <v>-2916000</v>
      </c>
      <c r="AH71" s="73">
        <f>IF(E71=1,Hitung!E8-Hitung!B23,0)</f>
        <v>305</v>
      </c>
      <c r="AI71" s="14">
        <f t="shared" si="10"/>
        <v>0</v>
      </c>
      <c r="AK71" s="14">
        <v>66.0</v>
      </c>
      <c r="AL71" s="14">
        <f>AL70+SUMIFS(Setting!$E$30:$E$39,Setting!$A$30:$A$39,AL$4,Setting!$C$30:$C$39,"&lt;="&amp;($AK71-1),Setting!$D$30:$D$39,"&gt;="&amp;($AK71-1))</f>
        <v>66</v>
      </c>
      <c r="AM71" s="14">
        <f>AM70+SUMIFS(Setting!$E$30:$E$39,Setting!$A$30:$A$39,AM$4,Setting!$C$30:$C$39,"&lt;="&amp;($AK71-1),Setting!$D$30:$D$39,"&gt;="&amp;($AK71-1))</f>
        <v>64</v>
      </c>
    </row>
    <row r="72" ht="15.75" customHeight="1">
      <c r="A72" s="14">
        <v>7.0</v>
      </c>
      <c r="B72" s="14">
        <v>5.0</v>
      </c>
      <c r="C72" s="14" t="str">
        <f>Hitung!A23</f>
        <v>Averroes</v>
      </c>
      <c r="D72" s="14" t="str">
        <f>Hitung!B9</f>
        <v>S3</v>
      </c>
      <c r="E72" s="14">
        <f>IF(AND(C72&lt;&gt;"",D72&lt;&gt;"",Hitung!B23&gt;0,Hitung!E9&gt;Hitung!B23,G72&lt;&gt;B72,F72&gt;0),1,0)</f>
        <v>1</v>
      </c>
      <c r="F72" s="25">
        <f>Hitung!D23</f>
        <v>21</v>
      </c>
      <c r="G72" s="14">
        <f>Hitung!X23</f>
        <v>1</v>
      </c>
      <c r="H72" s="25">
        <f>Hitung!$M$5-IF($G72=1,$F72,0)+IF($B72=1,$F72,0)</f>
        <v>84</v>
      </c>
      <c r="I72" s="14">
        <f>Hitung!$M$6-IF($G72=2,$F72,0)+IF($B72=2,$F72,0)</f>
        <v>0</v>
      </c>
      <c r="J72" s="14">
        <f>Hitung!$M$7-IF($G72=3,$F72,0)+IF($B72=3,$F72,0)</f>
        <v>42</v>
      </c>
      <c r="K72" s="14">
        <f>Hitung!$M$8-IF($G72=4,$F72,0)+IF($B72=4,$F72,0)</f>
        <v>0</v>
      </c>
      <c r="L72" s="25">
        <f>Hitung!$M$9-IF($G72=5,$F72,0)+IF($B72=5,$F72,0)</f>
        <v>21</v>
      </c>
      <c r="M72" s="14">
        <f>Hitung!$M$10-IF($G72=6,$F72,0)+IF($B72=6,$F72,0)</f>
        <v>61</v>
      </c>
      <c r="N72" s="14">
        <f>Hitung!$M$11-IF($G72=7,$F72,0)+IF($B72=7,$F72,0)</f>
        <v>0</v>
      </c>
      <c r="O72" s="14">
        <f>Hitung!$M$12-IF($G72=8,$F72,0)+IF($B72=8,$F72,0)</f>
        <v>0</v>
      </c>
      <c r="P72" s="14">
        <f t="shared" si="1"/>
        <v>0</v>
      </c>
      <c r="Q72" s="14">
        <f t="shared" si="2"/>
        <v>0</v>
      </c>
      <c r="R72" s="14">
        <f t="shared" si="3"/>
        <v>82</v>
      </c>
      <c r="S72" s="14">
        <f t="shared" si="4"/>
        <v>82</v>
      </c>
      <c r="T72" s="14">
        <f t="shared" si="5"/>
        <v>61</v>
      </c>
      <c r="U72" s="14">
        <f t="shared" si="6"/>
        <v>0</v>
      </c>
      <c r="V72" s="14">
        <f t="shared" si="7"/>
        <v>0</v>
      </c>
      <c r="W72" s="14">
        <f t="shared" si="8"/>
        <v>0</v>
      </c>
      <c r="X72" s="14">
        <f t="array" ref="X72">IF(H72=0,0,Hitung!$D$5*IF(Hitung!$C$5="Conquest",INDEX($AL$5:$AL$705,P72+H72+1)-INDEX($AL$5:$AL$705,P72+1),INDEX($AM$5:$AM$705,P72+H72+1)-INDEX($AM$5:$AM$705,P72+1)))</f>
        <v>25200000</v>
      </c>
      <c r="Y72" s="14">
        <f t="array" ref="Y72">IF(I72=0,0,Hitung!$D$6*IF(Hitung!$C$6="Conquest",INDEX($AL$5:$AL$705,Q72+I72+1)-INDEX($AL$5:$AL$705,Q72+1),INDEX($AM$5:$AM$705,Q72+I72+1)-INDEX($AM$5:$AM$705,Q72+1)))</f>
        <v>0</v>
      </c>
      <c r="Z72" s="14">
        <f t="array" ref="Z72">IF(J72=0,0,Hitung!$D$7*IF(Hitung!$C$7="Conquest",INDEX($AL$5:$AL$705,R72+J72+1)-INDEX($AL$5:$AL$705,R72+1),INDEX($AM$5:$AM$705,R72+J72+1)-INDEX($AM$5:$AM$705,R72+1)))</f>
        <v>3600000</v>
      </c>
      <c r="AA72" s="14">
        <f t="array" ref="AA72">IF(K72=0,0,Hitung!$D$8*IF(Hitung!$C$8="Conquest",INDEX($AL$5:$AL$705,S72+K72+1)-INDEX($AL$5:$AL$705,S72+1),INDEX($AM$5:$AM$705,S72+K72+1)-INDEX($AM$5:$AM$705,S72+1)))</f>
        <v>0</v>
      </c>
      <c r="AB72" s="14">
        <f t="array" ref="AB72">IF(L72=0,0,Hitung!$D$9*IF(Hitung!$C$9="Conquest",INDEX($AL$5:$AL$705,T72+L72+1)-INDEX($AL$5:$AL$705,T72+1),INDEX($AM$5:$AM$705,T72+L72+1)-INDEX($AM$5:$AM$705,T72+1)))</f>
        <v>6048000</v>
      </c>
      <c r="AC72" s="14">
        <f t="array" ref="AC72">IF(M72=0,0,Hitung!$D$10*IF(Hitung!$C$10="Conquest",INDEX($AL$5:$AL$705,U72+M72+1)-INDEX($AL$5:$AL$705,U72+1),INDEX($AM$5:$AM$705,U72+M72+1)-INDEX($AM$5:$AM$705,U72+1)))</f>
        <v>28800000</v>
      </c>
      <c r="AD72" s="14">
        <f t="array" ref="AD72">IF(N72=0,0,Hitung!$D$11*IF(Hitung!$C$11="Conquest",INDEX($AL$5:$AL$705,V72+N72+1)-INDEX($AL$5:$AL$705,V72+1),INDEX($AM$5:$AM$705,V72+N72+1)-INDEX($AM$5:$AM$705,V72+1)))</f>
        <v>0</v>
      </c>
      <c r="AE72" s="14">
        <f t="array" ref="AE72">IF(O72=0,0,Hitung!$D$12*IF(Hitung!$C$12="Conquest",INDEX($AL$5:$AL$705,W72+O72+1)-INDEX($AL$5:$AL$705,W72+1),INDEX($AM$5:$AM$705,W72+O72+1)-INDEX($AM$5:$AM$705,W72+1)))</f>
        <v>0</v>
      </c>
      <c r="AF72" s="14">
        <f t="shared" si="9"/>
        <v>63648000</v>
      </c>
      <c r="AG72" s="14">
        <f>IF(E72=1,AF72-Hitung!$AO$13,0)</f>
        <v>-2052000</v>
      </c>
      <c r="AH72" s="73">
        <f>IF(E72=1,Hitung!E9-Hitung!B23,0)</f>
        <v>605</v>
      </c>
      <c r="AI72" s="14">
        <f t="shared" si="10"/>
        <v>0</v>
      </c>
      <c r="AK72" s="14">
        <v>67.0</v>
      </c>
      <c r="AL72" s="14">
        <f>AL71+SUMIFS(Setting!$E$30:$E$39,Setting!$A$30:$A$39,AL$4,Setting!$C$30:$C$39,"&lt;="&amp;($AK72-1),Setting!$D$30:$D$39,"&gt;="&amp;($AK72-1))</f>
        <v>67</v>
      </c>
      <c r="AM72" s="14">
        <f>AM71+SUMIFS(Setting!$E$30:$E$39,Setting!$A$30:$A$39,AM$4,Setting!$C$30:$C$39,"&lt;="&amp;($AK72-1),Setting!$D$30:$D$39,"&gt;="&amp;($AK72-1))</f>
        <v>64.8</v>
      </c>
    </row>
    <row r="73" ht="15.75" customHeight="1">
      <c r="A73" s="14">
        <v>7.0</v>
      </c>
      <c r="B73" s="14">
        <v>6.0</v>
      </c>
      <c r="C73" s="14" t="str">
        <f>Hitung!A23</f>
        <v>Averroes</v>
      </c>
      <c r="D73" s="14" t="str">
        <f>Hitung!B10</f>
        <v>S4</v>
      </c>
      <c r="E73" s="14">
        <f>IF(AND(C73&lt;&gt;"",D73&lt;&gt;"",Hitung!B23&gt;0,Hitung!E10&gt;Hitung!B23,G73&lt;&gt;B73,F73&gt;0),1,0)</f>
        <v>1</v>
      </c>
      <c r="F73" s="25">
        <f>Hitung!D23</f>
        <v>21</v>
      </c>
      <c r="G73" s="14">
        <f>Hitung!X23</f>
        <v>1</v>
      </c>
      <c r="H73" s="25">
        <f>Hitung!$M$5-IF($G73=1,$F73,0)+IF($B73=1,$F73,0)</f>
        <v>84</v>
      </c>
      <c r="I73" s="14">
        <f>Hitung!$M$6-IF($G73=2,$F73,0)+IF($B73=2,$F73,0)</f>
        <v>0</v>
      </c>
      <c r="J73" s="14">
        <f>Hitung!$M$7-IF($G73=3,$F73,0)+IF($B73=3,$F73,0)</f>
        <v>42</v>
      </c>
      <c r="K73" s="14">
        <f>Hitung!$M$8-IF($G73=4,$F73,0)+IF($B73=4,$F73,0)</f>
        <v>0</v>
      </c>
      <c r="L73" s="14">
        <f>Hitung!$M$9-IF($G73=5,$F73,0)+IF($B73=5,$F73,0)</f>
        <v>0</v>
      </c>
      <c r="M73" s="25">
        <f>Hitung!$M$10-IF($G73=6,$F73,0)+IF($B73=6,$F73,0)</f>
        <v>82</v>
      </c>
      <c r="N73" s="14">
        <f>Hitung!$M$11-IF($G73=7,$F73,0)+IF($B73=7,$F73,0)</f>
        <v>0</v>
      </c>
      <c r="O73" s="14">
        <f>Hitung!$M$12-IF($G73=8,$F73,0)+IF($B73=8,$F73,0)</f>
        <v>0</v>
      </c>
      <c r="P73" s="14">
        <f t="shared" si="1"/>
        <v>0</v>
      </c>
      <c r="Q73" s="14">
        <f t="shared" si="2"/>
        <v>0</v>
      </c>
      <c r="R73" s="14">
        <f t="shared" si="3"/>
        <v>82</v>
      </c>
      <c r="S73" s="14">
        <f t="shared" si="4"/>
        <v>82</v>
      </c>
      <c r="T73" s="14">
        <f t="shared" si="5"/>
        <v>82</v>
      </c>
      <c r="U73" s="14">
        <f t="shared" si="6"/>
        <v>0</v>
      </c>
      <c r="V73" s="14">
        <f t="shared" si="7"/>
        <v>0</v>
      </c>
      <c r="W73" s="14">
        <f t="shared" si="8"/>
        <v>0</v>
      </c>
      <c r="X73" s="14">
        <f t="array" ref="X73">IF(H73=0,0,Hitung!$D$5*IF(Hitung!$C$5="Conquest",INDEX($AL$5:$AL$705,P73+H73+1)-INDEX($AL$5:$AL$705,P73+1),INDEX($AM$5:$AM$705,P73+H73+1)-INDEX($AM$5:$AM$705,P73+1)))</f>
        <v>25200000</v>
      </c>
      <c r="Y73" s="14">
        <f t="array" ref="Y73">IF(I73=0,0,Hitung!$D$6*IF(Hitung!$C$6="Conquest",INDEX($AL$5:$AL$705,Q73+I73+1)-INDEX($AL$5:$AL$705,Q73+1),INDEX($AM$5:$AM$705,Q73+I73+1)-INDEX($AM$5:$AM$705,Q73+1)))</f>
        <v>0</v>
      </c>
      <c r="Z73" s="14">
        <f t="array" ref="Z73">IF(J73=0,0,Hitung!$D$7*IF(Hitung!$C$7="Conquest",INDEX($AL$5:$AL$705,R73+J73+1)-INDEX($AL$5:$AL$705,R73+1),INDEX($AM$5:$AM$705,R73+J73+1)-INDEX($AM$5:$AM$705,R73+1)))</f>
        <v>3600000</v>
      </c>
      <c r="AA73" s="14">
        <f t="array" ref="AA73">IF(K73=0,0,Hitung!$D$8*IF(Hitung!$C$8="Conquest",INDEX($AL$5:$AL$705,S73+K73+1)-INDEX($AL$5:$AL$705,S73+1),INDEX($AM$5:$AM$705,S73+K73+1)-INDEX($AM$5:$AM$705,S73+1)))</f>
        <v>0</v>
      </c>
      <c r="AB73" s="14">
        <f t="array" ref="AB73">IF(L73=0,0,Hitung!$D$9*IF(Hitung!$C$9="Conquest",INDEX($AL$5:$AL$705,T73+L73+1)-INDEX($AL$5:$AL$705,T73+1),INDEX($AM$5:$AM$705,T73+L73+1)-INDEX($AM$5:$AM$705,T73+1)))</f>
        <v>0</v>
      </c>
      <c r="AC73" s="14">
        <f t="array" ref="AC73">IF(M73=0,0,Hitung!$D$10*IF(Hitung!$C$10="Conquest",INDEX($AL$5:$AL$705,U73+M73+1)-INDEX($AL$5:$AL$705,U73+1),INDEX($AM$5:$AM$705,U73+M73+1)-INDEX($AM$5:$AM$705,U73+1)))</f>
        <v>35712000</v>
      </c>
      <c r="AD73" s="14">
        <f t="array" ref="AD73">IF(N73=0,0,Hitung!$D$11*IF(Hitung!$C$11="Conquest",INDEX($AL$5:$AL$705,V73+N73+1)-INDEX($AL$5:$AL$705,V73+1),INDEX($AM$5:$AM$705,V73+N73+1)-INDEX($AM$5:$AM$705,V73+1)))</f>
        <v>0</v>
      </c>
      <c r="AE73" s="14">
        <f t="array" ref="AE73">IF(O73=0,0,Hitung!$D$12*IF(Hitung!$C$12="Conquest",INDEX($AL$5:$AL$705,W73+O73+1)-INDEX($AL$5:$AL$705,W73+1),INDEX($AM$5:$AM$705,W73+O73+1)-INDEX($AM$5:$AM$705,W73+1)))</f>
        <v>0</v>
      </c>
      <c r="AF73" s="14">
        <f t="shared" si="9"/>
        <v>64512000</v>
      </c>
      <c r="AG73" s="14">
        <f>IF(E73=1,AF73-Hitung!$AO$13,0)</f>
        <v>-1188000</v>
      </c>
      <c r="AH73" s="73">
        <f>IF(E73=1,Hitung!E10-Hitung!B23,0)</f>
        <v>905</v>
      </c>
      <c r="AI73" s="14">
        <f t="shared" si="10"/>
        <v>0</v>
      </c>
      <c r="AK73" s="14">
        <v>68.0</v>
      </c>
      <c r="AL73" s="14">
        <f>AL72+SUMIFS(Setting!$E$30:$E$39,Setting!$A$30:$A$39,AL$4,Setting!$C$30:$C$39,"&lt;="&amp;($AK73-1),Setting!$D$30:$D$39,"&gt;="&amp;($AK73-1))</f>
        <v>68</v>
      </c>
      <c r="AM73" s="14">
        <f>AM72+SUMIFS(Setting!$E$30:$E$39,Setting!$A$30:$A$39,AM$4,Setting!$C$30:$C$39,"&lt;="&amp;($AK73-1),Setting!$D$30:$D$39,"&gt;="&amp;($AK73-1))</f>
        <v>65.6</v>
      </c>
    </row>
    <row r="74" ht="15.75" customHeight="1">
      <c r="A74" s="14">
        <v>7.0</v>
      </c>
      <c r="B74" s="14">
        <v>7.0</v>
      </c>
      <c r="C74" s="14" t="str">
        <f>Hitung!A23</f>
        <v>Averroes</v>
      </c>
      <c r="D74" s="14" t="str">
        <f>Hitung!B11</f>
        <v/>
      </c>
      <c r="E74" s="14">
        <f>IF(AND(C74&lt;&gt;"",D74&lt;&gt;"",Hitung!B23&gt;0,Hitung!E11&gt;Hitung!B23,G74&lt;&gt;B74,F74&gt;0),1,0)</f>
        <v>0</v>
      </c>
      <c r="F74" s="25">
        <f>Hitung!D23</f>
        <v>21</v>
      </c>
      <c r="G74" s="14">
        <f>Hitung!X23</f>
        <v>1</v>
      </c>
      <c r="H74" s="25">
        <f>Hitung!$M$5-IF($G74=1,$F74,0)+IF($B74=1,$F74,0)</f>
        <v>84</v>
      </c>
      <c r="I74" s="14">
        <f>Hitung!$M$6-IF($G74=2,$F74,0)+IF($B74=2,$F74,0)</f>
        <v>0</v>
      </c>
      <c r="J74" s="14">
        <f>Hitung!$M$7-IF($G74=3,$F74,0)+IF($B74=3,$F74,0)</f>
        <v>42</v>
      </c>
      <c r="K74" s="14">
        <f>Hitung!$M$8-IF($G74=4,$F74,0)+IF($B74=4,$F74,0)</f>
        <v>0</v>
      </c>
      <c r="L74" s="14">
        <f>Hitung!$M$9-IF($G74=5,$F74,0)+IF($B74=5,$F74,0)</f>
        <v>0</v>
      </c>
      <c r="M74" s="14">
        <f>Hitung!$M$10-IF($G74=6,$F74,0)+IF($B74=6,$F74,0)</f>
        <v>61</v>
      </c>
      <c r="N74" s="25">
        <f>Hitung!$M$11-IF($G74=7,$F74,0)+IF($B74=7,$F74,0)</f>
        <v>21</v>
      </c>
      <c r="O74" s="14">
        <f>Hitung!$M$12-IF($G74=8,$F74,0)+IF($B74=8,$F74,0)</f>
        <v>0</v>
      </c>
      <c r="P74" s="14">
        <f t="shared" si="1"/>
        <v>0</v>
      </c>
      <c r="Q74" s="14">
        <f t="shared" si="2"/>
        <v>0</v>
      </c>
      <c r="R74" s="14">
        <f t="shared" si="3"/>
        <v>61</v>
      </c>
      <c r="S74" s="14">
        <f t="shared" si="4"/>
        <v>61</v>
      </c>
      <c r="T74" s="14">
        <f t="shared" si="5"/>
        <v>61</v>
      </c>
      <c r="U74" s="14">
        <f t="shared" si="6"/>
        <v>0</v>
      </c>
      <c r="V74" s="14">
        <f t="shared" si="7"/>
        <v>0</v>
      </c>
      <c r="W74" s="14">
        <f t="shared" si="8"/>
        <v>0</v>
      </c>
      <c r="X74" s="14">
        <f t="array" ref="X74">IF(H74=0,0,Hitung!$D$5*IF(Hitung!$C$5="Conquest",INDEX($AL$5:$AL$705,P74+H74+1)-INDEX($AL$5:$AL$705,P74+1),INDEX($AM$5:$AM$705,P74+H74+1)-INDEX($AM$5:$AM$705,P74+1)))</f>
        <v>25200000</v>
      </c>
      <c r="Y74" s="14">
        <f t="array" ref="Y74">IF(I74=0,0,Hitung!$D$6*IF(Hitung!$C$6="Conquest",INDEX($AL$5:$AL$705,Q74+I74+1)-INDEX($AL$5:$AL$705,Q74+1),INDEX($AM$5:$AM$705,Q74+I74+1)-INDEX($AM$5:$AM$705,Q74+1)))</f>
        <v>0</v>
      </c>
      <c r="Z74" s="14">
        <f t="array" ref="Z74">IF(J74=0,0,Hitung!$D$7*IF(Hitung!$C$7="Conquest",INDEX($AL$5:$AL$705,R74+J74+1)-INDEX($AL$5:$AL$705,R74+1),INDEX($AM$5:$AM$705,R74+J74+1)-INDEX($AM$5:$AM$705,R74+1)))</f>
        <v>6660000</v>
      </c>
      <c r="AA74" s="14">
        <f t="array" ref="AA74">IF(K74=0,0,Hitung!$D$8*IF(Hitung!$C$8="Conquest",INDEX($AL$5:$AL$705,S74+K74+1)-INDEX($AL$5:$AL$705,S74+1),INDEX($AM$5:$AM$705,S74+K74+1)-INDEX($AM$5:$AM$705,S74+1)))</f>
        <v>0</v>
      </c>
      <c r="AB74" s="14">
        <f t="array" ref="AB74">IF(L74=0,0,Hitung!$D$9*IF(Hitung!$C$9="Conquest",INDEX($AL$5:$AL$705,T74+L74+1)-INDEX($AL$5:$AL$705,T74+1),INDEX($AM$5:$AM$705,T74+L74+1)-INDEX($AM$5:$AM$705,T74+1)))</f>
        <v>0</v>
      </c>
      <c r="AC74" s="14">
        <f t="array" ref="AC74">IF(M74=0,0,Hitung!$D$10*IF(Hitung!$C$10="Conquest",INDEX($AL$5:$AL$705,U74+M74+1)-INDEX($AL$5:$AL$705,U74+1),INDEX($AM$5:$AM$705,U74+M74+1)-INDEX($AM$5:$AM$705,U74+1)))</f>
        <v>28800000</v>
      </c>
      <c r="AD74" s="14">
        <f t="array" ref="AD74">IF(N74=0,0,Hitung!$D$11*IF(Hitung!$C$11="Conquest",INDEX($AL$5:$AL$705,V74+N74+1)-INDEX($AL$5:$AL$705,V74+1),INDEX($AM$5:$AM$705,V74+N74+1)-INDEX($AM$5:$AM$705,V74+1)))</f>
        <v>0</v>
      </c>
      <c r="AE74" s="14">
        <f t="array" ref="AE74">IF(O74=0,0,Hitung!$D$12*IF(Hitung!$C$12="Conquest",INDEX($AL$5:$AL$705,W74+O74+1)-INDEX($AL$5:$AL$705,W74+1),INDEX($AM$5:$AM$705,W74+O74+1)-INDEX($AM$5:$AM$705,W74+1)))</f>
        <v>0</v>
      </c>
      <c r="AF74" s="14">
        <f t="shared" si="9"/>
        <v>60660000</v>
      </c>
      <c r="AG74" s="14">
        <f>IF(E74=1,AF74-Hitung!$AO$13,0)</f>
        <v>0</v>
      </c>
      <c r="AH74" s="14">
        <f>IF(E74=1,Hitung!E11-Hitung!B23,0)</f>
        <v>0</v>
      </c>
      <c r="AI74" s="14">
        <f t="shared" si="10"/>
        <v>0</v>
      </c>
      <c r="AK74" s="14">
        <v>69.0</v>
      </c>
      <c r="AL74" s="14">
        <f>AL73+SUMIFS(Setting!$E$30:$E$39,Setting!$A$30:$A$39,AL$4,Setting!$C$30:$C$39,"&lt;="&amp;($AK74-1),Setting!$D$30:$D$39,"&gt;="&amp;($AK74-1))</f>
        <v>69</v>
      </c>
      <c r="AM74" s="14">
        <f>AM73+SUMIFS(Setting!$E$30:$E$39,Setting!$A$30:$A$39,AM$4,Setting!$C$30:$C$39,"&lt;="&amp;($AK74-1),Setting!$D$30:$D$39,"&gt;="&amp;($AK74-1))</f>
        <v>66.4</v>
      </c>
    </row>
    <row r="75" ht="15.75" customHeight="1">
      <c r="A75" s="14">
        <v>7.0</v>
      </c>
      <c r="B75" s="14">
        <v>8.0</v>
      </c>
      <c r="C75" s="14" t="str">
        <f>Hitung!A23</f>
        <v>Averroes</v>
      </c>
      <c r="D75" s="14" t="str">
        <f>Hitung!B12</f>
        <v/>
      </c>
      <c r="E75" s="14">
        <f>IF(AND(C75&lt;&gt;"",D75&lt;&gt;"",Hitung!B23&gt;0,Hitung!E12&gt;Hitung!B23,G75&lt;&gt;B75,F75&gt;0),1,0)</f>
        <v>0</v>
      </c>
      <c r="F75" s="25">
        <f>Hitung!D23</f>
        <v>21</v>
      </c>
      <c r="G75" s="14">
        <f>Hitung!X23</f>
        <v>1</v>
      </c>
      <c r="H75" s="25">
        <f>Hitung!$M$5-IF($G75=1,$F75,0)+IF($B75=1,$F75,0)</f>
        <v>84</v>
      </c>
      <c r="I75" s="14">
        <f>Hitung!$M$6-IF($G75=2,$F75,0)+IF($B75=2,$F75,0)</f>
        <v>0</v>
      </c>
      <c r="J75" s="14">
        <f>Hitung!$M$7-IF($G75=3,$F75,0)+IF($B75=3,$F75,0)</f>
        <v>42</v>
      </c>
      <c r="K75" s="14">
        <f>Hitung!$M$8-IF($G75=4,$F75,0)+IF($B75=4,$F75,0)</f>
        <v>0</v>
      </c>
      <c r="L75" s="14">
        <f>Hitung!$M$9-IF($G75=5,$F75,0)+IF($B75=5,$F75,0)</f>
        <v>0</v>
      </c>
      <c r="M75" s="14">
        <f>Hitung!$M$10-IF($G75=6,$F75,0)+IF($B75=6,$F75,0)</f>
        <v>61</v>
      </c>
      <c r="N75" s="14">
        <f>Hitung!$M$11-IF($G75=7,$F75,0)+IF($B75=7,$F75,0)</f>
        <v>0</v>
      </c>
      <c r="O75" s="25">
        <f>Hitung!$M$12-IF($G75=8,$F75,0)+IF($B75=8,$F75,0)</f>
        <v>21</v>
      </c>
      <c r="P75" s="14">
        <f t="shared" si="1"/>
        <v>0</v>
      </c>
      <c r="Q75" s="14">
        <f t="shared" si="2"/>
        <v>0</v>
      </c>
      <c r="R75" s="14">
        <f t="shared" si="3"/>
        <v>61</v>
      </c>
      <c r="S75" s="14">
        <f t="shared" si="4"/>
        <v>61</v>
      </c>
      <c r="T75" s="14">
        <f t="shared" si="5"/>
        <v>61</v>
      </c>
      <c r="U75" s="14">
        <f t="shared" si="6"/>
        <v>0</v>
      </c>
      <c r="V75" s="14">
        <f t="shared" si="7"/>
        <v>0</v>
      </c>
      <c r="W75" s="14">
        <f t="shared" si="8"/>
        <v>0</v>
      </c>
      <c r="X75" s="14">
        <f t="array" ref="X75">IF(H75=0,0,Hitung!$D$5*IF(Hitung!$C$5="Conquest",INDEX($AL$5:$AL$705,P75+H75+1)-INDEX($AL$5:$AL$705,P75+1),INDEX($AM$5:$AM$705,P75+H75+1)-INDEX($AM$5:$AM$705,P75+1)))</f>
        <v>25200000</v>
      </c>
      <c r="Y75" s="14">
        <f t="array" ref="Y75">IF(I75=0,0,Hitung!$D$6*IF(Hitung!$C$6="Conquest",INDEX($AL$5:$AL$705,Q75+I75+1)-INDEX($AL$5:$AL$705,Q75+1),INDEX($AM$5:$AM$705,Q75+I75+1)-INDEX($AM$5:$AM$705,Q75+1)))</f>
        <v>0</v>
      </c>
      <c r="Z75" s="14">
        <f t="array" ref="Z75">IF(J75=0,0,Hitung!$D$7*IF(Hitung!$C$7="Conquest",INDEX($AL$5:$AL$705,R75+J75+1)-INDEX($AL$5:$AL$705,R75+1),INDEX($AM$5:$AM$705,R75+J75+1)-INDEX($AM$5:$AM$705,R75+1)))</f>
        <v>6660000</v>
      </c>
      <c r="AA75" s="14">
        <f t="array" ref="AA75">IF(K75=0,0,Hitung!$D$8*IF(Hitung!$C$8="Conquest",INDEX($AL$5:$AL$705,S75+K75+1)-INDEX($AL$5:$AL$705,S75+1),INDEX($AM$5:$AM$705,S75+K75+1)-INDEX($AM$5:$AM$705,S75+1)))</f>
        <v>0</v>
      </c>
      <c r="AB75" s="14">
        <f t="array" ref="AB75">IF(L75=0,0,Hitung!$D$9*IF(Hitung!$C$9="Conquest",INDEX($AL$5:$AL$705,T75+L75+1)-INDEX($AL$5:$AL$705,T75+1),INDEX($AM$5:$AM$705,T75+L75+1)-INDEX($AM$5:$AM$705,T75+1)))</f>
        <v>0</v>
      </c>
      <c r="AC75" s="14">
        <f t="array" ref="AC75">IF(M75=0,0,Hitung!$D$10*IF(Hitung!$C$10="Conquest",INDEX($AL$5:$AL$705,U75+M75+1)-INDEX($AL$5:$AL$705,U75+1),INDEX($AM$5:$AM$705,U75+M75+1)-INDEX($AM$5:$AM$705,U75+1)))</f>
        <v>28800000</v>
      </c>
      <c r="AD75" s="14">
        <f t="array" ref="AD75">IF(N75=0,0,Hitung!$D$11*IF(Hitung!$C$11="Conquest",INDEX($AL$5:$AL$705,V75+N75+1)-INDEX($AL$5:$AL$705,V75+1),INDEX($AM$5:$AM$705,V75+N75+1)-INDEX($AM$5:$AM$705,V75+1)))</f>
        <v>0</v>
      </c>
      <c r="AE75" s="14">
        <f t="array" ref="AE75">IF(O75=0,0,Hitung!$D$12*IF(Hitung!$C$12="Conquest",INDEX($AL$5:$AL$705,W75+O75+1)-INDEX($AL$5:$AL$705,W75+1),INDEX($AM$5:$AM$705,W75+O75+1)-INDEX($AM$5:$AM$705,W75+1)))</f>
        <v>0</v>
      </c>
      <c r="AF75" s="14">
        <f t="shared" si="9"/>
        <v>60660000</v>
      </c>
      <c r="AG75" s="14">
        <f>IF(E75=1,AF75-Hitung!$AO$13,0)</f>
        <v>0</v>
      </c>
      <c r="AH75" s="14">
        <f>IF(E75=1,Hitung!E12-Hitung!B23,0)</f>
        <v>0</v>
      </c>
      <c r="AI75" s="14">
        <f t="shared" si="10"/>
        <v>0</v>
      </c>
      <c r="AK75" s="14">
        <v>70.0</v>
      </c>
      <c r="AL75" s="14">
        <f>AL74+SUMIFS(Setting!$E$30:$E$39,Setting!$A$30:$A$39,AL$4,Setting!$C$30:$C$39,"&lt;="&amp;($AK75-1),Setting!$D$30:$D$39,"&gt;="&amp;($AK75-1))</f>
        <v>70</v>
      </c>
      <c r="AM75" s="14">
        <f>AM74+SUMIFS(Setting!$E$30:$E$39,Setting!$A$30:$A$39,AM$4,Setting!$C$30:$C$39,"&lt;="&amp;($AK75-1),Setting!$D$30:$D$39,"&gt;="&amp;($AK75-1))</f>
        <v>67.2</v>
      </c>
    </row>
    <row r="76" ht="15.75" customHeight="1">
      <c r="A76" s="14">
        <v>8.0</v>
      </c>
      <c r="B76" s="14">
        <v>1.0</v>
      </c>
      <c r="C76" s="14" t="str">
        <f>Hitung!A24</f>
        <v>Claudius</v>
      </c>
      <c r="D76" s="14" t="str">
        <f>Hitung!B5</f>
        <v>T2</v>
      </c>
      <c r="E76" s="14">
        <f>IF(AND(C76&lt;&gt;"",D76&lt;&gt;"",Hitung!B24&gt;0,Hitung!E5&gt;Hitung!B24,G76&lt;&gt;B76,F76&gt;0),1,0)</f>
        <v>0</v>
      </c>
      <c r="F76" s="25">
        <f>Hitung!D24</f>
        <v>21</v>
      </c>
      <c r="G76" s="14">
        <f>Hitung!X24</f>
        <v>1</v>
      </c>
      <c r="H76" s="25">
        <f>Hitung!$M$5-IF($G76=1,$F76,0)+IF($B76=1,$F76,0)</f>
        <v>105</v>
      </c>
      <c r="I76" s="14">
        <f>Hitung!$M$6-IF($G76=2,$F76,0)+IF($B76=2,$F76,0)</f>
        <v>0</v>
      </c>
      <c r="J76" s="14">
        <f>Hitung!$M$7-IF($G76=3,$F76,0)+IF($B76=3,$F76,0)</f>
        <v>42</v>
      </c>
      <c r="K76" s="14">
        <f>Hitung!$M$8-IF($G76=4,$F76,0)+IF($B76=4,$F76,0)</f>
        <v>0</v>
      </c>
      <c r="L76" s="14">
        <f>Hitung!$M$9-IF($G76=5,$F76,0)+IF($B76=5,$F76,0)</f>
        <v>0</v>
      </c>
      <c r="M76" s="14">
        <f>Hitung!$M$10-IF($G76=6,$F76,0)+IF($B76=6,$F76,0)</f>
        <v>61</v>
      </c>
      <c r="N76" s="14">
        <f>Hitung!$M$11-IF($G76=7,$F76,0)+IF($B76=7,$F76,0)</f>
        <v>0</v>
      </c>
      <c r="O76" s="14">
        <f>Hitung!$M$12-IF($G76=8,$F76,0)+IF($B76=8,$F76,0)</f>
        <v>0</v>
      </c>
      <c r="P76" s="14">
        <f t="shared" si="1"/>
        <v>0</v>
      </c>
      <c r="Q76" s="14">
        <f t="shared" si="2"/>
        <v>0</v>
      </c>
      <c r="R76" s="14">
        <f t="shared" si="3"/>
        <v>61</v>
      </c>
      <c r="S76" s="14">
        <f t="shared" si="4"/>
        <v>61</v>
      </c>
      <c r="T76" s="14">
        <f t="shared" si="5"/>
        <v>61</v>
      </c>
      <c r="U76" s="14">
        <f t="shared" si="6"/>
        <v>0</v>
      </c>
      <c r="V76" s="14">
        <f t="shared" si="7"/>
        <v>0</v>
      </c>
      <c r="W76" s="14">
        <f t="shared" si="8"/>
        <v>0</v>
      </c>
      <c r="X76" s="14">
        <f t="array" ref="X76">IF(H76=0,0,Hitung!$D$5*IF(Hitung!$C$5="Conquest",INDEX($AL$5:$AL$705,P76+H76+1)-INDEX($AL$5:$AL$705,P76+1),INDEX($AM$5:$AM$705,P76+H76+1)-INDEX($AM$5:$AM$705,P76+1)))</f>
        <v>30240000</v>
      </c>
      <c r="Y76" s="14">
        <f t="array" ref="Y76">IF(I76=0,0,Hitung!$D$6*IF(Hitung!$C$6="Conquest",INDEX($AL$5:$AL$705,Q76+I76+1)-INDEX($AL$5:$AL$705,Q76+1),INDEX($AM$5:$AM$705,Q76+I76+1)-INDEX($AM$5:$AM$705,Q76+1)))</f>
        <v>0</v>
      </c>
      <c r="Z76" s="14">
        <f t="array" ref="Z76">IF(J76=0,0,Hitung!$D$7*IF(Hitung!$C$7="Conquest",INDEX($AL$5:$AL$705,R76+J76+1)-INDEX($AL$5:$AL$705,R76+1),INDEX($AM$5:$AM$705,R76+J76+1)-INDEX($AM$5:$AM$705,R76+1)))</f>
        <v>6660000</v>
      </c>
      <c r="AA76" s="14">
        <f t="array" ref="AA76">IF(K76=0,0,Hitung!$D$8*IF(Hitung!$C$8="Conquest",INDEX($AL$5:$AL$705,S76+K76+1)-INDEX($AL$5:$AL$705,S76+1),INDEX($AM$5:$AM$705,S76+K76+1)-INDEX($AM$5:$AM$705,S76+1)))</f>
        <v>0</v>
      </c>
      <c r="AB76" s="14">
        <f t="array" ref="AB76">IF(L76=0,0,Hitung!$D$9*IF(Hitung!$C$9="Conquest",INDEX($AL$5:$AL$705,T76+L76+1)-INDEX($AL$5:$AL$705,T76+1),INDEX($AM$5:$AM$705,T76+L76+1)-INDEX($AM$5:$AM$705,T76+1)))</f>
        <v>0</v>
      </c>
      <c r="AC76" s="14">
        <f t="array" ref="AC76">IF(M76=0,0,Hitung!$D$10*IF(Hitung!$C$10="Conquest",INDEX($AL$5:$AL$705,U76+M76+1)-INDEX($AL$5:$AL$705,U76+1),INDEX($AM$5:$AM$705,U76+M76+1)-INDEX($AM$5:$AM$705,U76+1)))</f>
        <v>28800000</v>
      </c>
      <c r="AD76" s="14">
        <f t="array" ref="AD76">IF(N76=0,0,Hitung!$D$11*IF(Hitung!$C$11="Conquest",INDEX($AL$5:$AL$705,V76+N76+1)-INDEX($AL$5:$AL$705,V76+1),INDEX($AM$5:$AM$705,V76+N76+1)-INDEX($AM$5:$AM$705,V76+1)))</f>
        <v>0</v>
      </c>
      <c r="AE76" s="14">
        <f t="array" ref="AE76">IF(O76=0,0,Hitung!$D$12*IF(Hitung!$C$12="Conquest",INDEX($AL$5:$AL$705,W76+O76+1)-INDEX($AL$5:$AL$705,W76+1),INDEX($AM$5:$AM$705,W76+O76+1)-INDEX($AM$5:$AM$705,W76+1)))</f>
        <v>0</v>
      </c>
      <c r="AF76" s="14">
        <f t="shared" si="9"/>
        <v>65700000</v>
      </c>
      <c r="AG76" s="14">
        <f>IF(E76=1,AF76-Hitung!$AO$13,0)</f>
        <v>0</v>
      </c>
      <c r="AH76" s="14">
        <f>IF(E76=1,Hitung!E5-Hitung!B24,0)</f>
        <v>0</v>
      </c>
      <c r="AI76" s="14">
        <f t="shared" si="10"/>
        <v>0</v>
      </c>
      <c r="AK76" s="14">
        <v>71.0</v>
      </c>
      <c r="AL76" s="14">
        <f>AL75+SUMIFS(Setting!$E$30:$E$39,Setting!$A$30:$A$39,AL$4,Setting!$C$30:$C$39,"&lt;="&amp;($AK76-1),Setting!$D$30:$D$39,"&gt;="&amp;($AK76-1))</f>
        <v>71</v>
      </c>
      <c r="AM76" s="14">
        <f>AM75+SUMIFS(Setting!$E$30:$E$39,Setting!$A$30:$A$39,AM$4,Setting!$C$30:$C$39,"&lt;="&amp;($AK76-1),Setting!$D$30:$D$39,"&gt;="&amp;($AK76-1))</f>
        <v>67.8</v>
      </c>
    </row>
    <row r="77" ht="15.75" customHeight="1">
      <c r="A77" s="14">
        <v>8.0</v>
      </c>
      <c r="B77" s="14">
        <v>2.0</v>
      </c>
      <c r="C77" s="14" t="str">
        <f>Hitung!A24</f>
        <v>Claudius</v>
      </c>
      <c r="D77" s="14" t="str">
        <f>Hitung!B6</f>
        <v>T3</v>
      </c>
      <c r="E77" s="14">
        <f>IF(AND(C77&lt;&gt;"",D77&lt;&gt;"",Hitung!B24&gt;0,Hitung!E6&gt;Hitung!B24,G77&lt;&gt;B77,F77&gt;0),1,0)</f>
        <v>1</v>
      </c>
      <c r="F77" s="25">
        <f>Hitung!D24</f>
        <v>21</v>
      </c>
      <c r="G77" s="14">
        <f>Hitung!X24</f>
        <v>1</v>
      </c>
      <c r="H77" s="25">
        <f>Hitung!$M$5-IF($G77=1,$F77,0)+IF($B77=1,$F77,0)</f>
        <v>84</v>
      </c>
      <c r="I77" s="25">
        <f>Hitung!$M$6-IF($G77=2,$F77,0)+IF($B77=2,$F77,0)</f>
        <v>21</v>
      </c>
      <c r="J77" s="14">
        <f>Hitung!$M$7-IF($G77=3,$F77,0)+IF($B77=3,$F77,0)</f>
        <v>42</v>
      </c>
      <c r="K77" s="14">
        <f>Hitung!$M$8-IF($G77=4,$F77,0)+IF($B77=4,$F77,0)</f>
        <v>0</v>
      </c>
      <c r="L77" s="14">
        <f>Hitung!$M$9-IF($G77=5,$F77,0)+IF($B77=5,$F77,0)</f>
        <v>0</v>
      </c>
      <c r="M77" s="14">
        <f>Hitung!$M$10-IF($G77=6,$F77,0)+IF($B77=6,$F77,0)</f>
        <v>61</v>
      </c>
      <c r="N77" s="14">
        <f>Hitung!$M$11-IF($G77=7,$F77,0)+IF($B77=7,$F77,0)</f>
        <v>0</v>
      </c>
      <c r="O77" s="14">
        <f>Hitung!$M$12-IF($G77=8,$F77,0)+IF($B77=8,$F77,0)</f>
        <v>0</v>
      </c>
      <c r="P77" s="14">
        <f t="shared" si="1"/>
        <v>21</v>
      </c>
      <c r="Q77" s="14">
        <f t="shared" si="2"/>
        <v>0</v>
      </c>
      <c r="R77" s="14">
        <f t="shared" si="3"/>
        <v>61</v>
      </c>
      <c r="S77" s="14">
        <f t="shared" si="4"/>
        <v>61</v>
      </c>
      <c r="T77" s="14">
        <f t="shared" si="5"/>
        <v>61</v>
      </c>
      <c r="U77" s="14">
        <f t="shared" si="6"/>
        <v>0</v>
      </c>
      <c r="V77" s="14">
        <f t="shared" si="7"/>
        <v>0</v>
      </c>
      <c r="W77" s="14">
        <f t="shared" si="8"/>
        <v>0</v>
      </c>
      <c r="X77" s="14">
        <f t="array" ref="X77">IF(H77=0,0,Hitung!$D$5*IF(Hitung!$C$5="Conquest",INDEX($AL$5:$AL$705,P77+H77+1)-INDEX($AL$5:$AL$705,P77+1),INDEX($AM$5:$AM$705,P77+H77+1)-INDEX($AM$5:$AM$705,P77+1)))</f>
        <v>23940000</v>
      </c>
      <c r="Y77" s="14">
        <f t="array" ref="Y77">IF(I77=0,0,Hitung!$D$6*IF(Hitung!$C$6="Conquest",INDEX($AL$5:$AL$705,Q77+I77+1)-INDEX($AL$5:$AL$705,Q77+1),INDEX($AM$5:$AM$705,Q77+I77+1)-INDEX($AM$5:$AM$705,Q77+1)))</f>
        <v>8400000</v>
      </c>
      <c r="Z77" s="14">
        <f t="array" ref="Z77">IF(J77=0,0,Hitung!$D$7*IF(Hitung!$C$7="Conquest",INDEX($AL$5:$AL$705,R77+J77+1)-INDEX($AL$5:$AL$705,R77+1),INDEX($AM$5:$AM$705,R77+J77+1)-INDEX($AM$5:$AM$705,R77+1)))</f>
        <v>6660000</v>
      </c>
      <c r="AA77" s="14">
        <f t="array" ref="AA77">IF(K77=0,0,Hitung!$D$8*IF(Hitung!$C$8="Conquest",INDEX($AL$5:$AL$705,S77+K77+1)-INDEX($AL$5:$AL$705,S77+1),INDEX($AM$5:$AM$705,S77+K77+1)-INDEX($AM$5:$AM$705,S77+1)))</f>
        <v>0</v>
      </c>
      <c r="AB77" s="14">
        <f t="array" ref="AB77">IF(L77=0,0,Hitung!$D$9*IF(Hitung!$C$9="Conquest",INDEX($AL$5:$AL$705,T77+L77+1)-INDEX($AL$5:$AL$705,T77+1),INDEX($AM$5:$AM$705,T77+L77+1)-INDEX($AM$5:$AM$705,T77+1)))</f>
        <v>0</v>
      </c>
      <c r="AC77" s="14">
        <f t="array" ref="AC77">IF(M77=0,0,Hitung!$D$10*IF(Hitung!$C$10="Conquest",INDEX($AL$5:$AL$705,U77+M77+1)-INDEX($AL$5:$AL$705,U77+1),INDEX($AM$5:$AM$705,U77+M77+1)-INDEX($AM$5:$AM$705,U77+1)))</f>
        <v>28800000</v>
      </c>
      <c r="AD77" s="14">
        <f t="array" ref="AD77">IF(N77=0,0,Hitung!$D$11*IF(Hitung!$C$11="Conquest",INDEX($AL$5:$AL$705,V77+N77+1)-INDEX($AL$5:$AL$705,V77+1),INDEX($AM$5:$AM$705,V77+N77+1)-INDEX($AM$5:$AM$705,V77+1)))</f>
        <v>0</v>
      </c>
      <c r="AE77" s="14">
        <f t="array" ref="AE77">IF(O77=0,0,Hitung!$D$12*IF(Hitung!$C$12="Conquest",INDEX($AL$5:$AL$705,W77+O77+1)-INDEX($AL$5:$AL$705,W77+1),INDEX($AM$5:$AM$705,W77+O77+1)-INDEX($AM$5:$AM$705,W77+1)))</f>
        <v>0</v>
      </c>
      <c r="AF77" s="14">
        <f t="shared" si="9"/>
        <v>67800000</v>
      </c>
      <c r="AG77" s="14">
        <f>IF(E77=1,AF77-Hitung!$AO$13,0)</f>
        <v>2100000</v>
      </c>
      <c r="AH77" s="73">
        <f>IF(E77=1,Hitung!E6-Hitung!B24,0)</f>
        <v>542</v>
      </c>
      <c r="AI77" s="14">
        <f t="shared" si="10"/>
        <v>3874.538745</v>
      </c>
      <c r="AK77" s="14">
        <v>72.0</v>
      </c>
      <c r="AL77" s="14">
        <f>AL76+SUMIFS(Setting!$E$30:$E$39,Setting!$A$30:$A$39,AL$4,Setting!$C$30:$C$39,"&lt;="&amp;($AK77-1),Setting!$D$30:$D$39,"&gt;="&amp;($AK77-1))</f>
        <v>72</v>
      </c>
      <c r="AM77" s="14">
        <f>AM76+SUMIFS(Setting!$E$30:$E$39,Setting!$A$30:$A$39,AM$4,Setting!$C$30:$C$39,"&lt;="&amp;($AK77-1),Setting!$D$30:$D$39,"&gt;="&amp;($AK77-1))</f>
        <v>68.4</v>
      </c>
    </row>
    <row r="78" ht="15.75" customHeight="1">
      <c r="A78" s="14">
        <v>8.0</v>
      </c>
      <c r="B78" s="14">
        <v>3.0</v>
      </c>
      <c r="C78" s="14" t="str">
        <f>Hitung!A24</f>
        <v>Claudius</v>
      </c>
      <c r="D78" s="14" t="str">
        <f>Hitung!B7</f>
        <v>S1</v>
      </c>
      <c r="E78" s="14">
        <f>IF(AND(C78&lt;&gt;"",D78&lt;&gt;"",Hitung!B24&gt;0,Hitung!E7&gt;Hitung!B24,G78&lt;&gt;B78,F78&gt;0),1,0)</f>
        <v>1</v>
      </c>
      <c r="F78" s="25">
        <f>Hitung!D24</f>
        <v>21</v>
      </c>
      <c r="G78" s="14">
        <f>Hitung!X24</f>
        <v>1</v>
      </c>
      <c r="H78" s="25">
        <f>Hitung!$M$5-IF($G78=1,$F78,0)+IF($B78=1,$F78,0)</f>
        <v>84</v>
      </c>
      <c r="I78" s="14">
        <f>Hitung!$M$6-IF($G78=2,$F78,0)+IF($B78=2,$F78,0)</f>
        <v>0</v>
      </c>
      <c r="J78" s="25">
        <f>Hitung!$M$7-IF($G78=3,$F78,0)+IF($B78=3,$F78,0)</f>
        <v>63</v>
      </c>
      <c r="K78" s="14">
        <f>Hitung!$M$8-IF($G78=4,$F78,0)+IF($B78=4,$F78,0)</f>
        <v>0</v>
      </c>
      <c r="L78" s="14">
        <f>Hitung!$M$9-IF($G78=5,$F78,0)+IF($B78=5,$F78,0)</f>
        <v>0</v>
      </c>
      <c r="M78" s="14">
        <f>Hitung!$M$10-IF($G78=6,$F78,0)+IF($B78=6,$F78,0)</f>
        <v>61</v>
      </c>
      <c r="N78" s="14">
        <f>Hitung!$M$11-IF($G78=7,$F78,0)+IF($B78=7,$F78,0)</f>
        <v>0</v>
      </c>
      <c r="O78" s="14">
        <f>Hitung!$M$12-IF($G78=8,$F78,0)+IF($B78=8,$F78,0)</f>
        <v>0</v>
      </c>
      <c r="P78" s="14">
        <f t="shared" si="1"/>
        <v>0</v>
      </c>
      <c r="Q78" s="14">
        <f t="shared" si="2"/>
        <v>0</v>
      </c>
      <c r="R78" s="14">
        <f t="shared" si="3"/>
        <v>61</v>
      </c>
      <c r="S78" s="14">
        <f t="shared" si="4"/>
        <v>61</v>
      </c>
      <c r="T78" s="14">
        <f t="shared" si="5"/>
        <v>61</v>
      </c>
      <c r="U78" s="14">
        <f t="shared" si="6"/>
        <v>0</v>
      </c>
      <c r="V78" s="14">
        <f t="shared" si="7"/>
        <v>0</v>
      </c>
      <c r="W78" s="14">
        <f t="shared" si="8"/>
        <v>0</v>
      </c>
      <c r="X78" s="14">
        <f t="array" ref="X78">IF(H78=0,0,Hitung!$D$5*IF(Hitung!$C$5="Conquest",INDEX($AL$5:$AL$705,P78+H78+1)-INDEX($AL$5:$AL$705,P78+1),INDEX($AM$5:$AM$705,P78+H78+1)-INDEX($AM$5:$AM$705,P78+1)))</f>
        <v>25200000</v>
      </c>
      <c r="Y78" s="14">
        <f t="array" ref="Y78">IF(I78=0,0,Hitung!$D$6*IF(Hitung!$C$6="Conquest",INDEX($AL$5:$AL$705,Q78+I78+1)-INDEX($AL$5:$AL$705,Q78+1),INDEX($AM$5:$AM$705,Q78+I78+1)-INDEX($AM$5:$AM$705,Q78+1)))</f>
        <v>0</v>
      </c>
      <c r="Z78" s="14">
        <f t="array" ref="Z78">IF(J78=0,0,Hitung!$D$7*IF(Hitung!$C$7="Conquest",INDEX($AL$5:$AL$705,R78+J78+1)-INDEX($AL$5:$AL$705,R78+1),INDEX($AM$5:$AM$705,R78+J78+1)-INDEX($AM$5:$AM$705,R78+1)))</f>
        <v>7920000</v>
      </c>
      <c r="AA78" s="14">
        <f t="array" ref="AA78">IF(K78=0,0,Hitung!$D$8*IF(Hitung!$C$8="Conquest",INDEX($AL$5:$AL$705,S78+K78+1)-INDEX($AL$5:$AL$705,S78+1),INDEX($AM$5:$AM$705,S78+K78+1)-INDEX($AM$5:$AM$705,S78+1)))</f>
        <v>0</v>
      </c>
      <c r="AB78" s="14">
        <f t="array" ref="AB78">IF(L78=0,0,Hitung!$D$9*IF(Hitung!$C$9="Conquest",INDEX($AL$5:$AL$705,T78+L78+1)-INDEX($AL$5:$AL$705,T78+1),INDEX($AM$5:$AM$705,T78+L78+1)-INDEX($AM$5:$AM$705,T78+1)))</f>
        <v>0</v>
      </c>
      <c r="AC78" s="14">
        <f t="array" ref="AC78">IF(M78=0,0,Hitung!$D$10*IF(Hitung!$C$10="Conquest",INDEX($AL$5:$AL$705,U78+M78+1)-INDEX($AL$5:$AL$705,U78+1),INDEX($AM$5:$AM$705,U78+M78+1)-INDEX($AM$5:$AM$705,U78+1)))</f>
        <v>28800000</v>
      </c>
      <c r="AD78" s="14">
        <f t="array" ref="AD78">IF(N78=0,0,Hitung!$D$11*IF(Hitung!$C$11="Conquest",INDEX($AL$5:$AL$705,V78+N78+1)-INDEX($AL$5:$AL$705,V78+1),INDEX($AM$5:$AM$705,V78+N78+1)-INDEX($AM$5:$AM$705,V78+1)))</f>
        <v>0</v>
      </c>
      <c r="AE78" s="14">
        <f t="array" ref="AE78">IF(O78=0,0,Hitung!$D$12*IF(Hitung!$C$12="Conquest",INDEX($AL$5:$AL$705,W78+O78+1)-INDEX($AL$5:$AL$705,W78+1),INDEX($AM$5:$AM$705,W78+O78+1)-INDEX($AM$5:$AM$705,W78+1)))</f>
        <v>0</v>
      </c>
      <c r="AF78" s="14">
        <f t="shared" si="9"/>
        <v>61920000</v>
      </c>
      <c r="AG78" s="14">
        <f>IF(E78=1,AF78-Hitung!$AO$13,0)</f>
        <v>-3780000</v>
      </c>
      <c r="AH78" s="73">
        <f>IF(E78=1,Hitung!E7-Hitung!B24,0)</f>
        <v>42</v>
      </c>
      <c r="AI78" s="14">
        <f t="shared" si="10"/>
        <v>0</v>
      </c>
      <c r="AK78" s="14">
        <v>73.0</v>
      </c>
      <c r="AL78" s="14">
        <f>AL77+SUMIFS(Setting!$E$30:$E$39,Setting!$A$30:$A$39,AL$4,Setting!$C$30:$C$39,"&lt;="&amp;($AK78-1),Setting!$D$30:$D$39,"&gt;="&amp;($AK78-1))</f>
        <v>73</v>
      </c>
      <c r="AM78" s="14">
        <f>AM77+SUMIFS(Setting!$E$30:$E$39,Setting!$A$30:$A$39,AM$4,Setting!$C$30:$C$39,"&lt;="&amp;($AK78-1),Setting!$D$30:$D$39,"&gt;="&amp;($AK78-1))</f>
        <v>69</v>
      </c>
    </row>
    <row r="79" ht="15.75" customHeight="1">
      <c r="A79" s="14">
        <v>8.0</v>
      </c>
      <c r="B79" s="14">
        <v>4.0</v>
      </c>
      <c r="C79" s="14" t="str">
        <f>Hitung!A24</f>
        <v>Claudius</v>
      </c>
      <c r="D79" s="14" t="str">
        <f>Hitung!B8</f>
        <v>S2</v>
      </c>
      <c r="E79" s="14">
        <f>IF(AND(C79&lt;&gt;"",D79&lt;&gt;"",Hitung!B24&gt;0,Hitung!E8&gt;Hitung!B24,G79&lt;&gt;B79,F79&gt;0),1,0)</f>
        <v>1</v>
      </c>
      <c r="F79" s="25">
        <f>Hitung!D24</f>
        <v>21</v>
      </c>
      <c r="G79" s="14">
        <f>Hitung!X24</f>
        <v>1</v>
      </c>
      <c r="H79" s="25">
        <f>Hitung!$M$5-IF($G79=1,$F79,0)+IF($B79=1,$F79,0)</f>
        <v>84</v>
      </c>
      <c r="I79" s="14">
        <f>Hitung!$M$6-IF($G79=2,$F79,0)+IF($B79=2,$F79,0)</f>
        <v>0</v>
      </c>
      <c r="J79" s="14">
        <f>Hitung!$M$7-IF($G79=3,$F79,0)+IF($B79=3,$F79,0)</f>
        <v>42</v>
      </c>
      <c r="K79" s="25">
        <f>Hitung!$M$8-IF($G79=4,$F79,0)+IF($B79=4,$F79,0)</f>
        <v>21</v>
      </c>
      <c r="L79" s="14">
        <f>Hitung!$M$9-IF($G79=5,$F79,0)+IF($B79=5,$F79,0)</f>
        <v>0</v>
      </c>
      <c r="M79" s="14">
        <f>Hitung!$M$10-IF($G79=6,$F79,0)+IF($B79=6,$F79,0)</f>
        <v>61</v>
      </c>
      <c r="N79" s="14">
        <f>Hitung!$M$11-IF($G79=7,$F79,0)+IF($B79=7,$F79,0)</f>
        <v>0</v>
      </c>
      <c r="O79" s="14">
        <f>Hitung!$M$12-IF($G79=8,$F79,0)+IF($B79=8,$F79,0)</f>
        <v>0</v>
      </c>
      <c r="P79" s="14">
        <f t="shared" si="1"/>
        <v>0</v>
      </c>
      <c r="Q79" s="14">
        <f t="shared" si="2"/>
        <v>0</v>
      </c>
      <c r="R79" s="14">
        <f t="shared" si="3"/>
        <v>82</v>
      </c>
      <c r="S79" s="14">
        <f t="shared" si="4"/>
        <v>61</v>
      </c>
      <c r="T79" s="14">
        <f t="shared" si="5"/>
        <v>61</v>
      </c>
      <c r="U79" s="14">
        <f t="shared" si="6"/>
        <v>0</v>
      </c>
      <c r="V79" s="14">
        <f t="shared" si="7"/>
        <v>0</v>
      </c>
      <c r="W79" s="14">
        <f t="shared" si="8"/>
        <v>0</v>
      </c>
      <c r="X79" s="14">
        <f t="array" ref="X79">IF(H79=0,0,Hitung!$D$5*IF(Hitung!$C$5="Conquest",INDEX($AL$5:$AL$705,P79+H79+1)-INDEX($AL$5:$AL$705,P79+1),INDEX($AM$5:$AM$705,P79+H79+1)-INDEX($AM$5:$AM$705,P79+1)))</f>
        <v>25200000</v>
      </c>
      <c r="Y79" s="14">
        <f t="array" ref="Y79">IF(I79=0,0,Hitung!$D$6*IF(Hitung!$C$6="Conquest",INDEX($AL$5:$AL$705,Q79+I79+1)-INDEX($AL$5:$AL$705,Q79+1),INDEX($AM$5:$AM$705,Q79+I79+1)-INDEX($AM$5:$AM$705,Q79+1)))</f>
        <v>0</v>
      </c>
      <c r="Z79" s="14">
        <f t="array" ref="Z79">IF(J79=0,0,Hitung!$D$7*IF(Hitung!$C$7="Conquest",INDEX($AL$5:$AL$705,R79+J79+1)-INDEX($AL$5:$AL$705,R79+1),INDEX($AM$5:$AM$705,R79+J79+1)-INDEX($AM$5:$AM$705,R79+1)))</f>
        <v>3600000</v>
      </c>
      <c r="AA79" s="14">
        <f t="array" ref="AA79">IF(K79=0,0,Hitung!$D$8*IF(Hitung!$C$8="Conquest",INDEX($AL$5:$AL$705,S79+K79+1)-INDEX($AL$5:$AL$705,S79+1),INDEX($AM$5:$AM$705,S79+K79+1)-INDEX($AM$5:$AM$705,S79+1)))</f>
        <v>5184000</v>
      </c>
      <c r="AB79" s="14">
        <f t="array" ref="AB79">IF(L79=0,0,Hitung!$D$9*IF(Hitung!$C$9="Conquest",INDEX($AL$5:$AL$705,T79+L79+1)-INDEX($AL$5:$AL$705,T79+1),INDEX($AM$5:$AM$705,T79+L79+1)-INDEX($AM$5:$AM$705,T79+1)))</f>
        <v>0</v>
      </c>
      <c r="AC79" s="14">
        <f t="array" ref="AC79">IF(M79=0,0,Hitung!$D$10*IF(Hitung!$C$10="Conquest",INDEX($AL$5:$AL$705,U79+M79+1)-INDEX($AL$5:$AL$705,U79+1),INDEX($AM$5:$AM$705,U79+M79+1)-INDEX($AM$5:$AM$705,U79+1)))</f>
        <v>28800000</v>
      </c>
      <c r="AD79" s="14">
        <f t="array" ref="AD79">IF(N79=0,0,Hitung!$D$11*IF(Hitung!$C$11="Conquest",INDEX($AL$5:$AL$705,V79+N79+1)-INDEX($AL$5:$AL$705,V79+1),INDEX($AM$5:$AM$705,V79+N79+1)-INDEX($AM$5:$AM$705,V79+1)))</f>
        <v>0</v>
      </c>
      <c r="AE79" s="14">
        <f t="array" ref="AE79">IF(O79=0,0,Hitung!$D$12*IF(Hitung!$C$12="Conquest",INDEX($AL$5:$AL$705,W79+O79+1)-INDEX($AL$5:$AL$705,W79+1),INDEX($AM$5:$AM$705,W79+O79+1)-INDEX($AM$5:$AM$705,W79+1)))</f>
        <v>0</v>
      </c>
      <c r="AF79" s="14">
        <f t="shared" si="9"/>
        <v>62784000</v>
      </c>
      <c r="AG79" s="14">
        <f>IF(E79=1,AF79-Hitung!$AO$13,0)</f>
        <v>-2916000</v>
      </c>
      <c r="AH79" s="73">
        <f>IF(E79=1,Hitung!E8-Hitung!B24,0)</f>
        <v>342</v>
      </c>
      <c r="AI79" s="14">
        <f t="shared" si="10"/>
        <v>0</v>
      </c>
      <c r="AK79" s="14">
        <v>74.0</v>
      </c>
      <c r="AL79" s="14">
        <f>AL78+SUMIFS(Setting!$E$30:$E$39,Setting!$A$30:$A$39,AL$4,Setting!$C$30:$C$39,"&lt;="&amp;($AK79-1),Setting!$D$30:$D$39,"&gt;="&amp;($AK79-1))</f>
        <v>74</v>
      </c>
      <c r="AM79" s="14">
        <f>AM78+SUMIFS(Setting!$E$30:$E$39,Setting!$A$30:$A$39,AM$4,Setting!$C$30:$C$39,"&lt;="&amp;($AK79-1),Setting!$D$30:$D$39,"&gt;="&amp;($AK79-1))</f>
        <v>69.6</v>
      </c>
    </row>
    <row r="80" ht="15.75" customHeight="1">
      <c r="A80" s="14">
        <v>8.0</v>
      </c>
      <c r="B80" s="14">
        <v>5.0</v>
      </c>
      <c r="C80" s="14" t="str">
        <f>Hitung!A24</f>
        <v>Claudius</v>
      </c>
      <c r="D80" s="14" t="str">
        <f>Hitung!B9</f>
        <v>S3</v>
      </c>
      <c r="E80" s="14">
        <f>IF(AND(C80&lt;&gt;"",D80&lt;&gt;"",Hitung!B24&gt;0,Hitung!E9&gt;Hitung!B24,G80&lt;&gt;B80,F80&gt;0),1,0)</f>
        <v>1</v>
      </c>
      <c r="F80" s="25">
        <f>Hitung!D24</f>
        <v>21</v>
      </c>
      <c r="G80" s="14">
        <f>Hitung!X24</f>
        <v>1</v>
      </c>
      <c r="H80" s="25">
        <f>Hitung!$M$5-IF($G80=1,$F80,0)+IF($B80=1,$F80,0)</f>
        <v>84</v>
      </c>
      <c r="I80" s="14">
        <f>Hitung!$M$6-IF($G80=2,$F80,0)+IF($B80=2,$F80,0)</f>
        <v>0</v>
      </c>
      <c r="J80" s="14">
        <f>Hitung!$M$7-IF($G80=3,$F80,0)+IF($B80=3,$F80,0)</f>
        <v>42</v>
      </c>
      <c r="K80" s="14">
        <f>Hitung!$M$8-IF($G80=4,$F80,0)+IF($B80=4,$F80,0)</f>
        <v>0</v>
      </c>
      <c r="L80" s="25">
        <f>Hitung!$M$9-IF($G80=5,$F80,0)+IF($B80=5,$F80,0)</f>
        <v>21</v>
      </c>
      <c r="M80" s="14">
        <f>Hitung!$M$10-IF($G80=6,$F80,0)+IF($B80=6,$F80,0)</f>
        <v>61</v>
      </c>
      <c r="N80" s="14">
        <f>Hitung!$M$11-IF($G80=7,$F80,0)+IF($B80=7,$F80,0)</f>
        <v>0</v>
      </c>
      <c r="O80" s="14">
        <f>Hitung!$M$12-IF($G80=8,$F80,0)+IF($B80=8,$F80,0)</f>
        <v>0</v>
      </c>
      <c r="P80" s="14">
        <f t="shared" si="1"/>
        <v>0</v>
      </c>
      <c r="Q80" s="14">
        <f t="shared" si="2"/>
        <v>0</v>
      </c>
      <c r="R80" s="14">
        <f t="shared" si="3"/>
        <v>82</v>
      </c>
      <c r="S80" s="14">
        <f t="shared" si="4"/>
        <v>82</v>
      </c>
      <c r="T80" s="14">
        <f t="shared" si="5"/>
        <v>61</v>
      </c>
      <c r="U80" s="14">
        <f t="shared" si="6"/>
        <v>0</v>
      </c>
      <c r="V80" s="14">
        <f t="shared" si="7"/>
        <v>0</v>
      </c>
      <c r="W80" s="14">
        <f t="shared" si="8"/>
        <v>0</v>
      </c>
      <c r="X80" s="14">
        <f t="array" ref="X80">IF(H80=0,0,Hitung!$D$5*IF(Hitung!$C$5="Conquest",INDEX($AL$5:$AL$705,P80+H80+1)-INDEX($AL$5:$AL$705,P80+1),INDEX($AM$5:$AM$705,P80+H80+1)-INDEX($AM$5:$AM$705,P80+1)))</f>
        <v>25200000</v>
      </c>
      <c r="Y80" s="14">
        <f t="array" ref="Y80">IF(I80=0,0,Hitung!$D$6*IF(Hitung!$C$6="Conquest",INDEX($AL$5:$AL$705,Q80+I80+1)-INDEX($AL$5:$AL$705,Q80+1),INDEX($AM$5:$AM$705,Q80+I80+1)-INDEX($AM$5:$AM$705,Q80+1)))</f>
        <v>0</v>
      </c>
      <c r="Z80" s="14">
        <f t="array" ref="Z80">IF(J80=0,0,Hitung!$D$7*IF(Hitung!$C$7="Conquest",INDEX($AL$5:$AL$705,R80+J80+1)-INDEX($AL$5:$AL$705,R80+1),INDEX($AM$5:$AM$705,R80+J80+1)-INDEX($AM$5:$AM$705,R80+1)))</f>
        <v>3600000</v>
      </c>
      <c r="AA80" s="14">
        <f t="array" ref="AA80">IF(K80=0,0,Hitung!$D$8*IF(Hitung!$C$8="Conquest",INDEX($AL$5:$AL$705,S80+K80+1)-INDEX($AL$5:$AL$705,S80+1),INDEX($AM$5:$AM$705,S80+K80+1)-INDEX($AM$5:$AM$705,S80+1)))</f>
        <v>0</v>
      </c>
      <c r="AB80" s="14">
        <f t="array" ref="AB80">IF(L80=0,0,Hitung!$D$9*IF(Hitung!$C$9="Conquest",INDEX($AL$5:$AL$705,T80+L80+1)-INDEX($AL$5:$AL$705,T80+1),INDEX($AM$5:$AM$705,T80+L80+1)-INDEX($AM$5:$AM$705,T80+1)))</f>
        <v>6048000</v>
      </c>
      <c r="AC80" s="14">
        <f t="array" ref="AC80">IF(M80=0,0,Hitung!$D$10*IF(Hitung!$C$10="Conquest",INDEX($AL$5:$AL$705,U80+M80+1)-INDEX($AL$5:$AL$705,U80+1),INDEX($AM$5:$AM$705,U80+M80+1)-INDEX($AM$5:$AM$705,U80+1)))</f>
        <v>28800000</v>
      </c>
      <c r="AD80" s="14">
        <f t="array" ref="AD80">IF(N80=0,0,Hitung!$D$11*IF(Hitung!$C$11="Conquest",INDEX($AL$5:$AL$705,V80+N80+1)-INDEX($AL$5:$AL$705,V80+1),INDEX($AM$5:$AM$705,V80+N80+1)-INDEX($AM$5:$AM$705,V80+1)))</f>
        <v>0</v>
      </c>
      <c r="AE80" s="14">
        <f t="array" ref="AE80">IF(O80=0,0,Hitung!$D$12*IF(Hitung!$C$12="Conquest",INDEX($AL$5:$AL$705,W80+O80+1)-INDEX($AL$5:$AL$705,W80+1),INDEX($AM$5:$AM$705,W80+O80+1)-INDEX($AM$5:$AM$705,W80+1)))</f>
        <v>0</v>
      </c>
      <c r="AF80" s="14">
        <f t="shared" si="9"/>
        <v>63648000</v>
      </c>
      <c r="AG80" s="14">
        <f>IF(E80=1,AF80-Hitung!$AO$13,0)</f>
        <v>-2052000</v>
      </c>
      <c r="AH80" s="73">
        <f>IF(E80=1,Hitung!E9-Hitung!B24,0)</f>
        <v>642</v>
      </c>
      <c r="AI80" s="14">
        <f t="shared" si="10"/>
        <v>0</v>
      </c>
      <c r="AK80" s="14">
        <v>75.0</v>
      </c>
      <c r="AL80" s="14">
        <f>AL79+SUMIFS(Setting!$E$30:$E$39,Setting!$A$30:$A$39,AL$4,Setting!$C$30:$C$39,"&lt;="&amp;($AK80-1),Setting!$D$30:$D$39,"&gt;="&amp;($AK80-1))</f>
        <v>75</v>
      </c>
      <c r="AM80" s="14">
        <f>AM79+SUMIFS(Setting!$E$30:$E$39,Setting!$A$30:$A$39,AM$4,Setting!$C$30:$C$39,"&lt;="&amp;($AK80-1),Setting!$D$30:$D$39,"&gt;="&amp;($AK80-1))</f>
        <v>70.2</v>
      </c>
    </row>
    <row r="81" ht="15.75" customHeight="1">
      <c r="A81" s="14">
        <v>8.0</v>
      </c>
      <c r="B81" s="14">
        <v>6.0</v>
      </c>
      <c r="C81" s="14" t="str">
        <f>Hitung!A24</f>
        <v>Claudius</v>
      </c>
      <c r="D81" s="14" t="str">
        <f>Hitung!B10</f>
        <v>S4</v>
      </c>
      <c r="E81" s="14">
        <f>IF(AND(C81&lt;&gt;"",D81&lt;&gt;"",Hitung!B24&gt;0,Hitung!E10&gt;Hitung!B24,G81&lt;&gt;B81,F81&gt;0),1,0)</f>
        <v>1</v>
      </c>
      <c r="F81" s="25">
        <f>Hitung!D24</f>
        <v>21</v>
      </c>
      <c r="G81" s="14">
        <f>Hitung!X24</f>
        <v>1</v>
      </c>
      <c r="H81" s="25">
        <f>Hitung!$M$5-IF($G81=1,$F81,0)+IF($B81=1,$F81,0)</f>
        <v>84</v>
      </c>
      <c r="I81" s="14">
        <f>Hitung!$M$6-IF($G81=2,$F81,0)+IF($B81=2,$F81,0)</f>
        <v>0</v>
      </c>
      <c r="J81" s="14">
        <f>Hitung!$M$7-IF($G81=3,$F81,0)+IF($B81=3,$F81,0)</f>
        <v>42</v>
      </c>
      <c r="K81" s="14">
        <f>Hitung!$M$8-IF($G81=4,$F81,0)+IF($B81=4,$F81,0)</f>
        <v>0</v>
      </c>
      <c r="L81" s="14">
        <f>Hitung!$M$9-IF($G81=5,$F81,0)+IF($B81=5,$F81,0)</f>
        <v>0</v>
      </c>
      <c r="M81" s="25">
        <f>Hitung!$M$10-IF($G81=6,$F81,0)+IF($B81=6,$F81,0)</f>
        <v>82</v>
      </c>
      <c r="N81" s="14">
        <f>Hitung!$M$11-IF($G81=7,$F81,0)+IF($B81=7,$F81,0)</f>
        <v>0</v>
      </c>
      <c r="O81" s="14">
        <f>Hitung!$M$12-IF($G81=8,$F81,0)+IF($B81=8,$F81,0)</f>
        <v>0</v>
      </c>
      <c r="P81" s="14">
        <f t="shared" si="1"/>
        <v>0</v>
      </c>
      <c r="Q81" s="14">
        <f t="shared" si="2"/>
        <v>0</v>
      </c>
      <c r="R81" s="14">
        <f t="shared" si="3"/>
        <v>82</v>
      </c>
      <c r="S81" s="14">
        <f t="shared" si="4"/>
        <v>82</v>
      </c>
      <c r="T81" s="14">
        <f t="shared" si="5"/>
        <v>82</v>
      </c>
      <c r="U81" s="14">
        <f t="shared" si="6"/>
        <v>0</v>
      </c>
      <c r="V81" s="14">
        <f t="shared" si="7"/>
        <v>0</v>
      </c>
      <c r="W81" s="14">
        <f t="shared" si="8"/>
        <v>0</v>
      </c>
      <c r="X81" s="14">
        <f t="array" ref="X81">IF(H81=0,0,Hitung!$D$5*IF(Hitung!$C$5="Conquest",INDEX($AL$5:$AL$705,P81+H81+1)-INDEX($AL$5:$AL$705,P81+1),INDEX($AM$5:$AM$705,P81+H81+1)-INDEX($AM$5:$AM$705,P81+1)))</f>
        <v>25200000</v>
      </c>
      <c r="Y81" s="14">
        <f t="array" ref="Y81">IF(I81=0,0,Hitung!$D$6*IF(Hitung!$C$6="Conquest",INDEX($AL$5:$AL$705,Q81+I81+1)-INDEX($AL$5:$AL$705,Q81+1),INDEX($AM$5:$AM$705,Q81+I81+1)-INDEX($AM$5:$AM$705,Q81+1)))</f>
        <v>0</v>
      </c>
      <c r="Z81" s="14">
        <f t="array" ref="Z81">IF(J81=0,0,Hitung!$D$7*IF(Hitung!$C$7="Conquest",INDEX($AL$5:$AL$705,R81+J81+1)-INDEX($AL$5:$AL$705,R81+1),INDEX($AM$5:$AM$705,R81+J81+1)-INDEX($AM$5:$AM$705,R81+1)))</f>
        <v>3600000</v>
      </c>
      <c r="AA81" s="14">
        <f t="array" ref="AA81">IF(K81=0,0,Hitung!$D$8*IF(Hitung!$C$8="Conquest",INDEX($AL$5:$AL$705,S81+K81+1)-INDEX($AL$5:$AL$705,S81+1),INDEX($AM$5:$AM$705,S81+K81+1)-INDEX($AM$5:$AM$705,S81+1)))</f>
        <v>0</v>
      </c>
      <c r="AB81" s="14">
        <f t="array" ref="AB81">IF(L81=0,0,Hitung!$D$9*IF(Hitung!$C$9="Conquest",INDEX($AL$5:$AL$705,T81+L81+1)-INDEX($AL$5:$AL$705,T81+1),INDEX($AM$5:$AM$705,T81+L81+1)-INDEX($AM$5:$AM$705,T81+1)))</f>
        <v>0</v>
      </c>
      <c r="AC81" s="14">
        <f t="array" ref="AC81">IF(M81=0,0,Hitung!$D$10*IF(Hitung!$C$10="Conquest",INDEX($AL$5:$AL$705,U81+M81+1)-INDEX($AL$5:$AL$705,U81+1),INDEX($AM$5:$AM$705,U81+M81+1)-INDEX($AM$5:$AM$705,U81+1)))</f>
        <v>35712000</v>
      </c>
      <c r="AD81" s="14">
        <f t="array" ref="AD81">IF(N81=0,0,Hitung!$D$11*IF(Hitung!$C$11="Conquest",INDEX($AL$5:$AL$705,V81+N81+1)-INDEX($AL$5:$AL$705,V81+1),INDEX($AM$5:$AM$705,V81+N81+1)-INDEX($AM$5:$AM$705,V81+1)))</f>
        <v>0</v>
      </c>
      <c r="AE81" s="14">
        <f t="array" ref="AE81">IF(O81=0,0,Hitung!$D$12*IF(Hitung!$C$12="Conquest",INDEX($AL$5:$AL$705,W81+O81+1)-INDEX($AL$5:$AL$705,W81+1),INDEX($AM$5:$AM$705,W81+O81+1)-INDEX($AM$5:$AM$705,W81+1)))</f>
        <v>0</v>
      </c>
      <c r="AF81" s="14">
        <f t="shared" si="9"/>
        <v>64512000</v>
      </c>
      <c r="AG81" s="14">
        <f>IF(E81=1,AF81-Hitung!$AO$13,0)</f>
        <v>-1188000</v>
      </c>
      <c r="AH81" s="73">
        <f>IF(E81=1,Hitung!E10-Hitung!B24,0)</f>
        <v>942</v>
      </c>
      <c r="AI81" s="14">
        <f t="shared" si="10"/>
        <v>0</v>
      </c>
      <c r="AK81" s="14">
        <v>76.0</v>
      </c>
      <c r="AL81" s="14">
        <f>AL80+SUMIFS(Setting!$E$30:$E$39,Setting!$A$30:$A$39,AL$4,Setting!$C$30:$C$39,"&lt;="&amp;($AK81-1),Setting!$D$30:$D$39,"&gt;="&amp;($AK81-1))</f>
        <v>76</v>
      </c>
      <c r="AM81" s="14">
        <f>AM80+SUMIFS(Setting!$E$30:$E$39,Setting!$A$30:$A$39,AM$4,Setting!$C$30:$C$39,"&lt;="&amp;($AK81-1),Setting!$D$30:$D$39,"&gt;="&amp;($AK81-1))</f>
        <v>70.8</v>
      </c>
    </row>
    <row r="82" ht="15.75" customHeight="1">
      <c r="A82" s="14">
        <v>8.0</v>
      </c>
      <c r="B82" s="14">
        <v>7.0</v>
      </c>
      <c r="C82" s="14" t="str">
        <f>Hitung!A24</f>
        <v>Claudius</v>
      </c>
      <c r="D82" s="14" t="str">
        <f>Hitung!B11</f>
        <v/>
      </c>
      <c r="E82" s="14">
        <f>IF(AND(C82&lt;&gt;"",D82&lt;&gt;"",Hitung!B24&gt;0,Hitung!E11&gt;Hitung!B24,G82&lt;&gt;B82,F82&gt;0),1,0)</f>
        <v>0</v>
      </c>
      <c r="F82" s="25">
        <f>Hitung!D24</f>
        <v>21</v>
      </c>
      <c r="G82" s="14">
        <f>Hitung!X24</f>
        <v>1</v>
      </c>
      <c r="H82" s="25">
        <f>Hitung!$M$5-IF($G82=1,$F82,0)+IF($B82=1,$F82,0)</f>
        <v>84</v>
      </c>
      <c r="I82" s="14">
        <f>Hitung!$M$6-IF($G82=2,$F82,0)+IF($B82=2,$F82,0)</f>
        <v>0</v>
      </c>
      <c r="J82" s="14">
        <f>Hitung!$M$7-IF($G82=3,$F82,0)+IF($B82=3,$F82,0)</f>
        <v>42</v>
      </c>
      <c r="K82" s="14">
        <f>Hitung!$M$8-IF($G82=4,$F82,0)+IF($B82=4,$F82,0)</f>
        <v>0</v>
      </c>
      <c r="L82" s="14">
        <f>Hitung!$M$9-IF($G82=5,$F82,0)+IF($B82=5,$F82,0)</f>
        <v>0</v>
      </c>
      <c r="M82" s="14">
        <f>Hitung!$M$10-IF($G82=6,$F82,0)+IF($B82=6,$F82,0)</f>
        <v>61</v>
      </c>
      <c r="N82" s="25">
        <f>Hitung!$M$11-IF($G82=7,$F82,0)+IF($B82=7,$F82,0)</f>
        <v>21</v>
      </c>
      <c r="O82" s="14">
        <f>Hitung!$M$12-IF($G82=8,$F82,0)+IF($B82=8,$F82,0)</f>
        <v>0</v>
      </c>
      <c r="P82" s="14">
        <f t="shared" si="1"/>
        <v>0</v>
      </c>
      <c r="Q82" s="14">
        <f t="shared" si="2"/>
        <v>0</v>
      </c>
      <c r="R82" s="14">
        <f t="shared" si="3"/>
        <v>61</v>
      </c>
      <c r="S82" s="14">
        <f t="shared" si="4"/>
        <v>61</v>
      </c>
      <c r="T82" s="14">
        <f t="shared" si="5"/>
        <v>61</v>
      </c>
      <c r="U82" s="14">
        <f t="shared" si="6"/>
        <v>0</v>
      </c>
      <c r="V82" s="14">
        <f t="shared" si="7"/>
        <v>0</v>
      </c>
      <c r="W82" s="14">
        <f t="shared" si="8"/>
        <v>0</v>
      </c>
      <c r="X82" s="14">
        <f t="array" ref="X82">IF(H82=0,0,Hitung!$D$5*IF(Hitung!$C$5="Conquest",INDEX($AL$5:$AL$705,P82+H82+1)-INDEX($AL$5:$AL$705,P82+1),INDEX($AM$5:$AM$705,P82+H82+1)-INDEX($AM$5:$AM$705,P82+1)))</f>
        <v>25200000</v>
      </c>
      <c r="Y82" s="14">
        <f t="array" ref="Y82">IF(I82=0,0,Hitung!$D$6*IF(Hitung!$C$6="Conquest",INDEX($AL$5:$AL$705,Q82+I82+1)-INDEX($AL$5:$AL$705,Q82+1),INDEX($AM$5:$AM$705,Q82+I82+1)-INDEX($AM$5:$AM$705,Q82+1)))</f>
        <v>0</v>
      </c>
      <c r="Z82" s="14">
        <f t="array" ref="Z82">IF(J82=0,0,Hitung!$D$7*IF(Hitung!$C$7="Conquest",INDEX($AL$5:$AL$705,R82+J82+1)-INDEX($AL$5:$AL$705,R82+1),INDEX($AM$5:$AM$705,R82+J82+1)-INDEX($AM$5:$AM$705,R82+1)))</f>
        <v>6660000</v>
      </c>
      <c r="AA82" s="14">
        <f t="array" ref="AA82">IF(K82=0,0,Hitung!$D$8*IF(Hitung!$C$8="Conquest",INDEX($AL$5:$AL$705,S82+K82+1)-INDEX($AL$5:$AL$705,S82+1),INDEX($AM$5:$AM$705,S82+K82+1)-INDEX($AM$5:$AM$705,S82+1)))</f>
        <v>0</v>
      </c>
      <c r="AB82" s="14">
        <f t="array" ref="AB82">IF(L82=0,0,Hitung!$D$9*IF(Hitung!$C$9="Conquest",INDEX($AL$5:$AL$705,T82+L82+1)-INDEX($AL$5:$AL$705,T82+1),INDEX($AM$5:$AM$705,T82+L82+1)-INDEX($AM$5:$AM$705,T82+1)))</f>
        <v>0</v>
      </c>
      <c r="AC82" s="14">
        <f t="array" ref="AC82">IF(M82=0,0,Hitung!$D$10*IF(Hitung!$C$10="Conquest",INDEX($AL$5:$AL$705,U82+M82+1)-INDEX($AL$5:$AL$705,U82+1),INDEX($AM$5:$AM$705,U82+M82+1)-INDEX($AM$5:$AM$705,U82+1)))</f>
        <v>28800000</v>
      </c>
      <c r="AD82" s="14">
        <f t="array" ref="AD82">IF(N82=0,0,Hitung!$D$11*IF(Hitung!$C$11="Conquest",INDEX($AL$5:$AL$705,V82+N82+1)-INDEX($AL$5:$AL$705,V82+1),INDEX($AM$5:$AM$705,V82+N82+1)-INDEX($AM$5:$AM$705,V82+1)))</f>
        <v>0</v>
      </c>
      <c r="AE82" s="14">
        <f t="array" ref="AE82">IF(O82=0,0,Hitung!$D$12*IF(Hitung!$C$12="Conquest",INDEX($AL$5:$AL$705,W82+O82+1)-INDEX($AL$5:$AL$705,W82+1),INDEX($AM$5:$AM$705,W82+O82+1)-INDEX($AM$5:$AM$705,W82+1)))</f>
        <v>0</v>
      </c>
      <c r="AF82" s="14">
        <f t="shared" si="9"/>
        <v>60660000</v>
      </c>
      <c r="AG82" s="14">
        <f>IF(E82=1,AF82-Hitung!$AO$13,0)</f>
        <v>0</v>
      </c>
      <c r="AH82" s="14">
        <f>IF(E82=1,Hitung!E11-Hitung!B24,0)</f>
        <v>0</v>
      </c>
      <c r="AI82" s="14">
        <f t="shared" si="10"/>
        <v>0</v>
      </c>
      <c r="AK82" s="14">
        <v>77.0</v>
      </c>
      <c r="AL82" s="14">
        <f>AL81+SUMIFS(Setting!$E$30:$E$39,Setting!$A$30:$A$39,AL$4,Setting!$C$30:$C$39,"&lt;="&amp;($AK82-1),Setting!$D$30:$D$39,"&gt;="&amp;($AK82-1))</f>
        <v>77</v>
      </c>
      <c r="AM82" s="14">
        <f>AM81+SUMIFS(Setting!$E$30:$E$39,Setting!$A$30:$A$39,AM$4,Setting!$C$30:$C$39,"&lt;="&amp;($AK82-1),Setting!$D$30:$D$39,"&gt;="&amp;($AK82-1))</f>
        <v>71.4</v>
      </c>
    </row>
    <row r="83" ht="15.75" customHeight="1">
      <c r="A83" s="14">
        <v>8.0</v>
      </c>
      <c r="B83" s="14">
        <v>8.0</v>
      </c>
      <c r="C83" s="14" t="str">
        <f>Hitung!A24</f>
        <v>Claudius</v>
      </c>
      <c r="D83" s="14" t="str">
        <f>Hitung!B12</f>
        <v/>
      </c>
      <c r="E83" s="14">
        <f>IF(AND(C83&lt;&gt;"",D83&lt;&gt;"",Hitung!B24&gt;0,Hitung!E12&gt;Hitung!B24,G83&lt;&gt;B83,F83&gt;0),1,0)</f>
        <v>0</v>
      </c>
      <c r="F83" s="25">
        <f>Hitung!D24</f>
        <v>21</v>
      </c>
      <c r="G83" s="14">
        <f>Hitung!X24</f>
        <v>1</v>
      </c>
      <c r="H83" s="25">
        <f>Hitung!$M$5-IF($G83=1,$F83,0)+IF($B83=1,$F83,0)</f>
        <v>84</v>
      </c>
      <c r="I83" s="14">
        <f>Hitung!$M$6-IF($G83=2,$F83,0)+IF($B83=2,$F83,0)</f>
        <v>0</v>
      </c>
      <c r="J83" s="14">
        <f>Hitung!$M$7-IF($G83=3,$F83,0)+IF($B83=3,$F83,0)</f>
        <v>42</v>
      </c>
      <c r="K83" s="14">
        <f>Hitung!$M$8-IF($G83=4,$F83,0)+IF($B83=4,$F83,0)</f>
        <v>0</v>
      </c>
      <c r="L83" s="14">
        <f>Hitung!$M$9-IF($G83=5,$F83,0)+IF($B83=5,$F83,0)</f>
        <v>0</v>
      </c>
      <c r="M83" s="14">
        <f>Hitung!$M$10-IF($G83=6,$F83,0)+IF($B83=6,$F83,0)</f>
        <v>61</v>
      </c>
      <c r="N83" s="14">
        <f>Hitung!$M$11-IF($G83=7,$F83,0)+IF($B83=7,$F83,0)</f>
        <v>0</v>
      </c>
      <c r="O83" s="25">
        <f>Hitung!$M$12-IF($G83=8,$F83,0)+IF($B83=8,$F83,0)</f>
        <v>21</v>
      </c>
      <c r="P83" s="14">
        <f t="shared" si="1"/>
        <v>0</v>
      </c>
      <c r="Q83" s="14">
        <f t="shared" si="2"/>
        <v>0</v>
      </c>
      <c r="R83" s="14">
        <f t="shared" si="3"/>
        <v>61</v>
      </c>
      <c r="S83" s="14">
        <f t="shared" si="4"/>
        <v>61</v>
      </c>
      <c r="T83" s="14">
        <f t="shared" si="5"/>
        <v>61</v>
      </c>
      <c r="U83" s="14">
        <f t="shared" si="6"/>
        <v>0</v>
      </c>
      <c r="V83" s="14">
        <f t="shared" si="7"/>
        <v>0</v>
      </c>
      <c r="W83" s="14">
        <f t="shared" si="8"/>
        <v>0</v>
      </c>
      <c r="X83" s="14">
        <f t="array" ref="X83">IF(H83=0,0,Hitung!$D$5*IF(Hitung!$C$5="Conquest",INDEX($AL$5:$AL$705,P83+H83+1)-INDEX($AL$5:$AL$705,P83+1),INDEX($AM$5:$AM$705,P83+H83+1)-INDEX($AM$5:$AM$705,P83+1)))</f>
        <v>25200000</v>
      </c>
      <c r="Y83" s="14">
        <f t="array" ref="Y83">IF(I83=0,0,Hitung!$D$6*IF(Hitung!$C$6="Conquest",INDEX($AL$5:$AL$705,Q83+I83+1)-INDEX($AL$5:$AL$705,Q83+1),INDEX($AM$5:$AM$705,Q83+I83+1)-INDEX($AM$5:$AM$705,Q83+1)))</f>
        <v>0</v>
      </c>
      <c r="Z83" s="14">
        <f t="array" ref="Z83">IF(J83=0,0,Hitung!$D$7*IF(Hitung!$C$7="Conquest",INDEX($AL$5:$AL$705,R83+J83+1)-INDEX($AL$5:$AL$705,R83+1),INDEX($AM$5:$AM$705,R83+J83+1)-INDEX($AM$5:$AM$705,R83+1)))</f>
        <v>6660000</v>
      </c>
      <c r="AA83" s="14">
        <f t="array" ref="AA83">IF(K83=0,0,Hitung!$D$8*IF(Hitung!$C$8="Conquest",INDEX($AL$5:$AL$705,S83+K83+1)-INDEX($AL$5:$AL$705,S83+1),INDEX($AM$5:$AM$705,S83+K83+1)-INDEX($AM$5:$AM$705,S83+1)))</f>
        <v>0</v>
      </c>
      <c r="AB83" s="14">
        <f t="array" ref="AB83">IF(L83=0,0,Hitung!$D$9*IF(Hitung!$C$9="Conquest",INDEX($AL$5:$AL$705,T83+L83+1)-INDEX($AL$5:$AL$705,T83+1),INDEX($AM$5:$AM$705,T83+L83+1)-INDEX($AM$5:$AM$705,T83+1)))</f>
        <v>0</v>
      </c>
      <c r="AC83" s="14">
        <f t="array" ref="AC83">IF(M83=0,0,Hitung!$D$10*IF(Hitung!$C$10="Conquest",INDEX($AL$5:$AL$705,U83+M83+1)-INDEX($AL$5:$AL$705,U83+1),INDEX($AM$5:$AM$705,U83+M83+1)-INDEX($AM$5:$AM$705,U83+1)))</f>
        <v>28800000</v>
      </c>
      <c r="AD83" s="14">
        <f t="array" ref="AD83">IF(N83=0,0,Hitung!$D$11*IF(Hitung!$C$11="Conquest",INDEX($AL$5:$AL$705,V83+N83+1)-INDEX($AL$5:$AL$705,V83+1),INDEX($AM$5:$AM$705,V83+N83+1)-INDEX($AM$5:$AM$705,V83+1)))</f>
        <v>0</v>
      </c>
      <c r="AE83" s="14">
        <f t="array" ref="AE83">IF(O83=0,0,Hitung!$D$12*IF(Hitung!$C$12="Conquest",INDEX($AL$5:$AL$705,W83+O83+1)-INDEX($AL$5:$AL$705,W83+1),INDEX($AM$5:$AM$705,W83+O83+1)-INDEX($AM$5:$AM$705,W83+1)))</f>
        <v>0</v>
      </c>
      <c r="AF83" s="14">
        <f t="shared" si="9"/>
        <v>60660000</v>
      </c>
      <c r="AG83" s="14">
        <f>IF(E83=1,AF83-Hitung!$AO$13,0)</f>
        <v>0</v>
      </c>
      <c r="AH83" s="14">
        <f>IF(E83=1,Hitung!E12-Hitung!B24,0)</f>
        <v>0</v>
      </c>
      <c r="AI83" s="14">
        <f t="shared" si="10"/>
        <v>0</v>
      </c>
      <c r="AK83" s="14">
        <v>78.0</v>
      </c>
      <c r="AL83" s="14">
        <f>AL82+SUMIFS(Setting!$E$30:$E$39,Setting!$A$30:$A$39,AL$4,Setting!$C$30:$C$39,"&lt;="&amp;($AK83-1),Setting!$D$30:$D$39,"&gt;="&amp;($AK83-1))</f>
        <v>78</v>
      </c>
      <c r="AM83" s="14">
        <f>AM82+SUMIFS(Setting!$E$30:$E$39,Setting!$A$30:$A$39,AM$4,Setting!$C$30:$C$39,"&lt;="&amp;($AK83-1),Setting!$D$30:$D$39,"&gt;="&amp;($AK83-1))</f>
        <v>72</v>
      </c>
    </row>
    <row r="84" ht="15.75" customHeight="1">
      <c r="AK84" s="14">
        <v>79.0</v>
      </c>
      <c r="AL84" s="14">
        <f>AL83+SUMIFS(Setting!$E$30:$E$39,Setting!$A$30:$A$39,AL$4,Setting!$C$30:$C$39,"&lt;="&amp;($AK84-1),Setting!$D$30:$D$39,"&gt;="&amp;($AK84-1))</f>
        <v>79</v>
      </c>
      <c r="AM84" s="14">
        <f>AM83+SUMIFS(Setting!$E$30:$E$39,Setting!$A$30:$A$39,AM$4,Setting!$C$30:$C$39,"&lt;="&amp;($AK84-1),Setting!$D$30:$D$39,"&gt;="&amp;($AK84-1))</f>
        <v>72.6</v>
      </c>
    </row>
    <row r="85" ht="15.75" customHeight="1">
      <c r="AK85" s="14">
        <v>80.0</v>
      </c>
      <c r="AL85" s="14">
        <f>AL84+SUMIFS(Setting!$E$30:$E$39,Setting!$A$30:$A$39,AL$4,Setting!$C$30:$C$39,"&lt;="&amp;($AK85-1),Setting!$D$30:$D$39,"&gt;="&amp;($AK85-1))</f>
        <v>80</v>
      </c>
      <c r="AM85" s="14">
        <f>AM84+SUMIFS(Setting!$E$30:$E$39,Setting!$A$30:$A$39,AM$4,Setting!$C$30:$C$39,"&lt;="&amp;($AK85-1),Setting!$D$30:$D$39,"&gt;="&amp;($AK85-1))</f>
        <v>73.2</v>
      </c>
    </row>
    <row r="86" ht="15.75" customHeight="1">
      <c r="AK86" s="14">
        <v>81.0</v>
      </c>
      <c r="AL86" s="14">
        <f>AL85+SUMIFS(Setting!$E$30:$E$39,Setting!$A$30:$A$39,AL$4,Setting!$C$30:$C$39,"&lt;="&amp;($AK86-1),Setting!$D$30:$D$39,"&gt;="&amp;($AK86-1))</f>
        <v>81</v>
      </c>
      <c r="AM86" s="14">
        <f>AM85+SUMIFS(Setting!$E$30:$E$39,Setting!$A$30:$A$39,AM$4,Setting!$C$30:$C$39,"&lt;="&amp;($AK86-1),Setting!$D$30:$D$39,"&gt;="&amp;($AK86-1))</f>
        <v>73.8</v>
      </c>
    </row>
    <row r="87" ht="15.75" customHeight="1">
      <c r="AK87" s="14">
        <v>82.0</v>
      </c>
      <c r="AL87" s="14">
        <f>AL86+SUMIFS(Setting!$E$30:$E$39,Setting!$A$30:$A$39,AL$4,Setting!$C$30:$C$39,"&lt;="&amp;($AK87-1),Setting!$D$30:$D$39,"&gt;="&amp;($AK87-1))</f>
        <v>82</v>
      </c>
      <c r="AM87" s="14">
        <f>AM86+SUMIFS(Setting!$E$30:$E$39,Setting!$A$30:$A$39,AM$4,Setting!$C$30:$C$39,"&lt;="&amp;($AK87-1),Setting!$D$30:$D$39,"&gt;="&amp;($AK87-1))</f>
        <v>74.4</v>
      </c>
    </row>
    <row r="88" ht="15.75" customHeight="1">
      <c r="AK88" s="14">
        <v>83.0</v>
      </c>
      <c r="AL88" s="14">
        <f>AL87+SUMIFS(Setting!$E$30:$E$39,Setting!$A$30:$A$39,AL$4,Setting!$C$30:$C$39,"&lt;="&amp;($AK88-1),Setting!$D$30:$D$39,"&gt;="&amp;($AK88-1))</f>
        <v>83</v>
      </c>
      <c r="AM88" s="14">
        <f>AM87+SUMIFS(Setting!$E$30:$E$39,Setting!$A$30:$A$39,AM$4,Setting!$C$30:$C$39,"&lt;="&amp;($AK88-1),Setting!$D$30:$D$39,"&gt;="&amp;($AK88-1))</f>
        <v>75</v>
      </c>
    </row>
    <row r="89" ht="15.75" customHeight="1">
      <c r="AK89" s="14">
        <v>84.0</v>
      </c>
      <c r="AL89" s="14">
        <f>AL88+SUMIFS(Setting!$E$30:$E$39,Setting!$A$30:$A$39,AL$4,Setting!$C$30:$C$39,"&lt;="&amp;($AK89-1),Setting!$D$30:$D$39,"&gt;="&amp;($AK89-1))</f>
        <v>84</v>
      </c>
      <c r="AM89" s="14">
        <f>AM88+SUMIFS(Setting!$E$30:$E$39,Setting!$A$30:$A$39,AM$4,Setting!$C$30:$C$39,"&lt;="&amp;($AK89-1),Setting!$D$30:$D$39,"&gt;="&amp;($AK89-1))</f>
        <v>75.6</v>
      </c>
    </row>
    <row r="90" ht="15.75" customHeight="1">
      <c r="AK90" s="14">
        <v>85.0</v>
      </c>
      <c r="AL90" s="14">
        <f>AL89+SUMIFS(Setting!$E$30:$E$39,Setting!$A$30:$A$39,AL$4,Setting!$C$30:$C$39,"&lt;="&amp;($AK90-1),Setting!$D$30:$D$39,"&gt;="&amp;($AK90-1))</f>
        <v>84.8</v>
      </c>
      <c r="AM90" s="14">
        <f>AM89+SUMIFS(Setting!$E$30:$E$39,Setting!$A$30:$A$39,AM$4,Setting!$C$30:$C$39,"&lt;="&amp;($AK90-1),Setting!$D$30:$D$39,"&gt;="&amp;($AK90-1))</f>
        <v>76</v>
      </c>
    </row>
    <row r="91" ht="15.75" customHeight="1">
      <c r="AK91" s="14">
        <v>86.0</v>
      </c>
      <c r="AL91" s="14">
        <f>AL90+SUMIFS(Setting!$E$30:$E$39,Setting!$A$30:$A$39,AL$4,Setting!$C$30:$C$39,"&lt;="&amp;($AK91-1),Setting!$D$30:$D$39,"&gt;="&amp;($AK91-1))</f>
        <v>85.6</v>
      </c>
      <c r="AM91" s="14">
        <f>AM90+SUMIFS(Setting!$E$30:$E$39,Setting!$A$30:$A$39,AM$4,Setting!$C$30:$C$39,"&lt;="&amp;($AK91-1),Setting!$D$30:$D$39,"&gt;="&amp;($AK91-1))</f>
        <v>76.4</v>
      </c>
    </row>
    <row r="92" ht="15.75" customHeight="1">
      <c r="AK92" s="14">
        <v>87.0</v>
      </c>
      <c r="AL92" s="14">
        <f>AL91+SUMIFS(Setting!$E$30:$E$39,Setting!$A$30:$A$39,AL$4,Setting!$C$30:$C$39,"&lt;="&amp;($AK92-1),Setting!$D$30:$D$39,"&gt;="&amp;($AK92-1))</f>
        <v>86.4</v>
      </c>
      <c r="AM92" s="14">
        <f>AM91+SUMIFS(Setting!$E$30:$E$39,Setting!$A$30:$A$39,AM$4,Setting!$C$30:$C$39,"&lt;="&amp;($AK92-1),Setting!$D$30:$D$39,"&gt;="&amp;($AK92-1))</f>
        <v>76.8</v>
      </c>
    </row>
    <row r="93" ht="15.75" customHeight="1">
      <c r="AK93" s="14">
        <v>88.0</v>
      </c>
      <c r="AL93" s="14">
        <f>AL92+SUMIFS(Setting!$E$30:$E$39,Setting!$A$30:$A$39,AL$4,Setting!$C$30:$C$39,"&lt;="&amp;($AK93-1),Setting!$D$30:$D$39,"&gt;="&amp;($AK93-1))</f>
        <v>87.2</v>
      </c>
      <c r="AM93" s="14">
        <f>AM92+SUMIFS(Setting!$E$30:$E$39,Setting!$A$30:$A$39,AM$4,Setting!$C$30:$C$39,"&lt;="&amp;($AK93-1),Setting!$D$30:$D$39,"&gt;="&amp;($AK93-1))</f>
        <v>77.2</v>
      </c>
    </row>
    <row r="94" ht="15.75" customHeight="1">
      <c r="AK94" s="14">
        <v>89.0</v>
      </c>
      <c r="AL94" s="14">
        <f>AL93+SUMIFS(Setting!$E$30:$E$39,Setting!$A$30:$A$39,AL$4,Setting!$C$30:$C$39,"&lt;="&amp;($AK94-1),Setting!$D$30:$D$39,"&gt;="&amp;($AK94-1))</f>
        <v>88</v>
      </c>
      <c r="AM94" s="14">
        <f>AM93+SUMIFS(Setting!$E$30:$E$39,Setting!$A$30:$A$39,AM$4,Setting!$C$30:$C$39,"&lt;="&amp;($AK94-1),Setting!$D$30:$D$39,"&gt;="&amp;($AK94-1))</f>
        <v>77.6</v>
      </c>
    </row>
    <row r="95" ht="15.75" customHeight="1">
      <c r="AK95" s="14">
        <v>90.0</v>
      </c>
      <c r="AL95" s="14">
        <f>AL94+SUMIFS(Setting!$E$30:$E$39,Setting!$A$30:$A$39,AL$4,Setting!$C$30:$C$39,"&lt;="&amp;($AK95-1),Setting!$D$30:$D$39,"&gt;="&amp;($AK95-1))</f>
        <v>88.8</v>
      </c>
      <c r="AM95" s="14">
        <f>AM94+SUMIFS(Setting!$E$30:$E$39,Setting!$A$30:$A$39,AM$4,Setting!$C$30:$C$39,"&lt;="&amp;($AK95-1),Setting!$D$30:$D$39,"&gt;="&amp;($AK95-1))</f>
        <v>78</v>
      </c>
    </row>
    <row r="96" ht="15.75" customHeight="1">
      <c r="AK96" s="14">
        <v>91.0</v>
      </c>
      <c r="AL96" s="14">
        <f>AL95+SUMIFS(Setting!$E$30:$E$39,Setting!$A$30:$A$39,AL$4,Setting!$C$30:$C$39,"&lt;="&amp;($AK96-1),Setting!$D$30:$D$39,"&gt;="&amp;($AK96-1))</f>
        <v>89.6</v>
      </c>
      <c r="AM96" s="14">
        <f>AM95+SUMIFS(Setting!$E$30:$E$39,Setting!$A$30:$A$39,AM$4,Setting!$C$30:$C$39,"&lt;="&amp;($AK96-1),Setting!$D$30:$D$39,"&gt;="&amp;($AK96-1))</f>
        <v>78.4</v>
      </c>
    </row>
    <row r="97" ht="15.75" customHeight="1">
      <c r="AK97" s="14">
        <v>92.0</v>
      </c>
      <c r="AL97" s="14">
        <f>AL96+SUMIFS(Setting!$E$30:$E$39,Setting!$A$30:$A$39,AL$4,Setting!$C$30:$C$39,"&lt;="&amp;($AK97-1),Setting!$D$30:$D$39,"&gt;="&amp;($AK97-1))</f>
        <v>90.4</v>
      </c>
      <c r="AM97" s="14">
        <f>AM96+SUMIFS(Setting!$E$30:$E$39,Setting!$A$30:$A$39,AM$4,Setting!$C$30:$C$39,"&lt;="&amp;($AK97-1),Setting!$D$30:$D$39,"&gt;="&amp;($AK97-1))</f>
        <v>78.8</v>
      </c>
    </row>
    <row r="98" ht="15.75" customHeight="1">
      <c r="AK98" s="14">
        <v>93.0</v>
      </c>
      <c r="AL98" s="14">
        <f>AL97+SUMIFS(Setting!$E$30:$E$39,Setting!$A$30:$A$39,AL$4,Setting!$C$30:$C$39,"&lt;="&amp;($AK98-1),Setting!$D$30:$D$39,"&gt;="&amp;($AK98-1))</f>
        <v>91.2</v>
      </c>
      <c r="AM98" s="14">
        <f>AM97+SUMIFS(Setting!$E$30:$E$39,Setting!$A$30:$A$39,AM$4,Setting!$C$30:$C$39,"&lt;="&amp;($AK98-1),Setting!$D$30:$D$39,"&gt;="&amp;($AK98-1))</f>
        <v>79.2</v>
      </c>
    </row>
    <row r="99" ht="15.75" customHeight="1">
      <c r="AK99" s="14">
        <v>94.0</v>
      </c>
      <c r="AL99" s="14">
        <f>AL98+SUMIFS(Setting!$E$30:$E$39,Setting!$A$30:$A$39,AL$4,Setting!$C$30:$C$39,"&lt;="&amp;($AK99-1),Setting!$D$30:$D$39,"&gt;="&amp;($AK99-1))</f>
        <v>92</v>
      </c>
      <c r="AM99" s="14">
        <f>AM98+SUMIFS(Setting!$E$30:$E$39,Setting!$A$30:$A$39,AM$4,Setting!$C$30:$C$39,"&lt;="&amp;($AK99-1),Setting!$D$30:$D$39,"&gt;="&amp;($AK99-1))</f>
        <v>79.6</v>
      </c>
    </row>
    <row r="100" ht="15.75" customHeight="1">
      <c r="AK100" s="14">
        <v>95.0</v>
      </c>
      <c r="AL100" s="14">
        <f>AL99+SUMIFS(Setting!$E$30:$E$39,Setting!$A$30:$A$39,AL$4,Setting!$C$30:$C$39,"&lt;="&amp;($AK100-1),Setting!$D$30:$D$39,"&gt;="&amp;($AK100-1))</f>
        <v>92.8</v>
      </c>
      <c r="AM100" s="14">
        <f>AM99+SUMIFS(Setting!$E$30:$E$39,Setting!$A$30:$A$39,AM$4,Setting!$C$30:$C$39,"&lt;="&amp;($AK100-1),Setting!$D$30:$D$39,"&gt;="&amp;($AK100-1))</f>
        <v>80</v>
      </c>
    </row>
    <row r="101" ht="15.75" customHeight="1">
      <c r="AK101" s="14">
        <v>96.0</v>
      </c>
      <c r="AL101" s="14">
        <f>AL100+SUMIFS(Setting!$E$30:$E$39,Setting!$A$30:$A$39,AL$4,Setting!$C$30:$C$39,"&lt;="&amp;($AK101-1),Setting!$D$30:$D$39,"&gt;="&amp;($AK101-1))</f>
        <v>93.6</v>
      </c>
      <c r="AM101" s="14">
        <f>AM100+SUMIFS(Setting!$E$30:$E$39,Setting!$A$30:$A$39,AM$4,Setting!$C$30:$C$39,"&lt;="&amp;($AK101-1),Setting!$D$30:$D$39,"&gt;="&amp;($AK101-1))</f>
        <v>80.4</v>
      </c>
    </row>
    <row r="102" ht="15.75" customHeight="1">
      <c r="AK102" s="14">
        <v>97.0</v>
      </c>
      <c r="AL102" s="14">
        <f>AL101+SUMIFS(Setting!$E$30:$E$39,Setting!$A$30:$A$39,AL$4,Setting!$C$30:$C$39,"&lt;="&amp;($AK102-1),Setting!$D$30:$D$39,"&gt;="&amp;($AK102-1))</f>
        <v>94.4</v>
      </c>
      <c r="AM102" s="14">
        <f>AM101+SUMIFS(Setting!$E$30:$E$39,Setting!$A$30:$A$39,AM$4,Setting!$C$30:$C$39,"&lt;="&amp;($AK102-1),Setting!$D$30:$D$39,"&gt;="&amp;($AK102-1))</f>
        <v>80.8</v>
      </c>
    </row>
    <row r="103" ht="15.75" customHeight="1">
      <c r="AK103" s="14">
        <v>98.0</v>
      </c>
      <c r="AL103" s="14">
        <f>AL102+SUMIFS(Setting!$E$30:$E$39,Setting!$A$30:$A$39,AL$4,Setting!$C$30:$C$39,"&lt;="&amp;($AK103-1),Setting!$D$30:$D$39,"&gt;="&amp;($AK103-1))</f>
        <v>95.2</v>
      </c>
      <c r="AM103" s="14">
        <f>AM102+SUMIFS(Setting!$E$30:$E$39,Setting!$A$30:$A$39,AM$4,Setting!$C$30:$C$39,"&lt;="&amp;($AK103-1),Setting!$D$30:$D$39,"&gt;="&amp;($AK103-1))</f>
        <v>81.2</v>
      </c>
    </row>
    <row r="104" ht="15.75" customHeight="1">
      <c r="AK104" s="14">
        <v>99.0</v>
      </c>
      <c r="AL104" s="14">
        <f>AL103+SUMIFS(Setting!$E$30:$E$39,Setting!$A$30:$A$39,AL$4,Setting!$C$30:$C$39,"&lt;="&amp;($AK104-1),Setting!$D$30:$D$39,"&gt;="&amp;($AK104-1))</f>
        <v>96</v>
      </c>
      <c r="AM104" s="14">
        <f>AM103+SUMIFS(Setting!$E$30:$E$39,Setting!$A$30:$A$39,AM$4,Setting!$C$30:$C$39,"&lt;="&amp;($AK104-1),Setting!$D$30:$D$39,"&gt;="&amp;($AK104-1))</f>
        <v>81.4</v>
      </c>
    </row>
    <row r="105" ht="15.75" customHeight="1">
      <c r="AK105" s="14">
        <v>100.0</v>
      </c>
      <c r="AL105" s="14">
        <f>AL104+SUMIFS(Setting!$E$30:$E$39,Setting!$A$30:$A$39,AL$4,Setting!$C$30:$C$39,"&lt;="&amp;($AK105-1),Setting!$D$30:$D$39,"&gt;="&amp;($AK105-1))</f>
        <v>96.8</v>
      </c>
      <c r="AM105" s="14">
        <f>AM104+SUMIFS(Setting!$E$30:$E$39,Setting!$A$30:$A$39,AM$4,Setting!$C$30:$C$39,"&lt;="&amp;($AK105-1),Setting!$D$30:$D$39,"&gt;="&amp;($AK105-1))</f>
        <v>81.6</v>
      </c>
    </row>
    <row r="106" ht="15.75" customHeight="1">
      <c r="AK106" s="14">
        <v>101.0</v>
      </c>
      <c r="AL106" s="14">
        <f>AL105+SUMIFS(Setting!$E$30:$E$39,Setting!$A$30:$A$39,AL$4,Setting!$C$30:$C$39,"&lt;="&amp;($AK106-1),Setting!$D$30:$D$39,"&gt;="&amp;($AK106-1))</f>
        <v>97.6</v>
      </c>
      <c r="AM106" s="14">
        <f>AM105+SUMIFS(Setting!$E$30:$E$39,Setting!$A$30:$A$39,AM$4,Setting!$C$30:$C$39,"&lt;="&amp;($AK106-1),Setting!$D$30:$D$39,"&gt;="&amp;($AK106-1))</f>
        <v>81.8</v>
      </c>
    </row>
    <row r="107" ht="15.75" customHeight="1">
      <c r="AK107" s="14">
        <v>102.0</v>
      </c>
      <c r="AL107" s="14">
        <f>AL106+SUMIFS(Setting!$E$30:$E$39,Setting!$A$30:$A$39,AL$4,Setting!$C$30:$C$39,"&lt;="&amp;($AK107-1),Setting!$D$30:$D$39,"&gt;="&amp;($AK107-1))</f>
        <v>98.4</v>
      </c>
      <c r="AM107" s="14">
        <f>AM106+SUMIFS(Setting!$E$30:$E$39,Setting!$A$30:$A$39,AM$4,Setting!$C$30:$C$39,"&lt;="&amp;($AK107-1),Setting!$D$30:$D$39,"&gt;="&amp;($AK107-1))</f>
        <v>82</v>
      </c>
    </row>
    <row r="108" ht="15.75" customHeight="1">
      <c r="AK108" s="14">
        <v>103.0</v>
      </c>
      <c r="AL108" s="14">
        <f>AL107+SUMIFS(Setting!$E$30:$E$39,Setting!$A$30:$A$39,AL$4,Setting!$C$30:$C$39,"&lt;="&amp;($AK108-1),Setting!$D$30:$D$39,"&gt;="&amp;($AK108-1))</f>
        <v>99.2</v>
      </c>
      <c r="AM108" s="14">
        <f>AM107+SUMIFS(Setting!$E$30:$E$39,Setting!$A$30:$A$39,AM$4,Setting!$C$30:$C$39,"&lt;="&amp;($AK108-1),Setting!$D$30:$D$39,"&gt;="&amp;($AK108-1))</f>
        <v>82.2</v>
      </c>
    </row>
    <row r="109" ht="15.75" customHeight="1">
      <c r="AK109" s="14">
        <v>104.0</v>
      </c>
      <c r="AL109" s="14">
        <f>AL108+SUMIFS(Setting!$E$30:$E$39,Setting!$A$30:$A$39,AL$4,Setting!$C$30:$C$39,"&lt;="&amp;($AK109-1),Setting!$D$30:$D$39,"&gt;="&amp;($AK109-1))</f>
        <v>100</v>
      </c>
      <c r="AM109" s="14">
        <f>AM108+SUMIFS(Setting!$E$30:$E$39,Setting!$A$30:$A$39,AM$4,Setting!$C$30:$C$39,"&lt;="&amp;($AK109-1),Setting!$D$30:$D$39,"&gt;="&amp;($AK109-1))</f>
        <v>82.4</v>
      </c>
    </row>
    <row r="110" ht="15.75" customHeight="1">
      <c r="AK110" s="14">
        <v>105.0</v>
      </c>
      <c r="AL110" s="14">
        <f>AL109+SUMIFS(Setting!$E$30:$E$39,Setting!$A$30:$A$39,AL$4,Setting!$C$30:$C$39,"&lt;="&amp;($AK110-1),Setting!$D$30:$D$39,"&gt;="&amp;($AK110-1))</f>
        <v>100.8</v>
      </c>
      <c r="AM110" s="14">
        <f>AM109+SUMIFS(Setting!$E$30:$E$39,Setting!$A$30:$A$39,AM$4,Setting!$C$30:$C$39,"&lt;="&amp;($AK110-1),Setting!$D$30:$D$39,"&gt;="&amp;($AK110-1))</f>
        <v>82.6</v>
      </c>
    </row>
    <row r="111" ht="15.75" customHeight="1">
      <c r="AK111" s="14">
        <v>106.0</v>
      </c>
      <c r="AL111" s="14">
        <f>AL110+SUMIFS(Setting!$E$30:$E$39,Setting!$A$30:$A$39,AL$4,Setting!$C$30:$C$39,"&lt;="&amp;($AK111-1),Setting!$D$30:$D$39,"&gt;="&amp;($AK111-1))</f>
        <v>101.4</v>
      </c>
      <c r="AM111" s="14">
        <f>AM110+SUMIFS(Setting!$E$30:$E$39,Setting!$A$30:$A$39,AM$4,Setting!$C$30:$C$39,"&lt;="&amp;($AK111-1),Setting!$D$30:$D$39,"&gt;="&amp;($AK111-1))</f>
        <v>82.8</v>
      </c>
    </row>
    <row r="112" ht="15.75" customHeight="1">
      <c r="AK112" s="14">
        <v>107.0</v>
      </c>
      <c r="AL112" s="14">
        <f>AL111+SUMIFS(Setting!$E$30:$E$39,Setting!$A$30:$A$39,AL$4,Setting!$C$30:$C$39,"&lt;="&amp;($AK112-1),Setting!$D$30:$D$39,"&gt;="&amp;($AK112-1))</f>
        <v>102</v>
      </c>
      <c r="AM112" s="14">
        <f>AM111+SUMIFS(Setting!$E$30:$E$39,Setting!$A$30:$A$39,AM$4,Setting!$C$30:$C$39,"&lt;="&amp;($AK112-1),Setting!$D$30:$D$39,"&gt;="&amp;($AK112-1))</f>
        <v>83</v>
      </c>
    </row>
    <row r="113" ht="15.75" customHeight="1">
      <c r="AK113" s="14">
        <v>108.0</v>
      </c>
      <c r="AL113" s="14">
        <f>AL112+SUMIFS(Setting!$E$30:$E$39,Setting!$A$30:$A$39,AL$4,Setting!$C$30:$C$39,"&lt;="&amp;($AK113-1),Setting!$D$30:$D$39,"&gt;="&amp;($AK113-1))</f>
        <v>102.6</v>
      </c>
      <c r="AM113" s="14">
        <f>AM112+SUMIFS(Setting!$E$30:$E$39,Setting!$A$30:$A$39,AM$4,Setting!$C$30:$C$39,"&lt;="&amp;($AK113-1),Setting!$D$30:$D$39,"&gt;="&amp;($AK113-1))</f>
        <v>83.2</v>
      </c>
    </row>
    <row r="114" ht="15.75" customHeight="1">
      <c r="AK114" s="14">
        <v>109.0</v>
      </c>
      <c r="AL114" s="14">
        <f>AL113+SUMIFS(Setting!$E$30:$E$39,Setting!$A$30:$A$39,AL$4,Setting!$C$30:$C$39,"&lt;="&amp;($AK114-1),Setting!$D$30:$D$39,"&gt;="&amp;($AK114-1))</f>
        <v>103.2</v>
      </c>
      <c r="AM114" s="14">
        <f>AM113+SUMIFS(Setting!$E$30:$E$39,Setting!$A$30:$A$39,AM$4,Setting!$C$30:$C$39,"&lt;="&amp;($AK114-1),Setting!$D$30:$D$39,"&gt;="&amp;($AK114-1))</f>
        <v>83.4</v>
      </c>
    </row>
    <row r="115" ht="15.75" customHeight="1">
      <c r="AK115" s="14">
        <v>110.0</v>
      </c>
      <c r="AL115" s="14">
        <f>AL114+SUMIFS(Setting!$E$30:$E$39,Setting!$A$30:$A$39,AL$4,Setting!$C$30:$C$39,"&lt;="&amp;($AK115-1),Setting!$D$30:$D$39,"&gt;="&amp;($AK115-1))</f>
        <v>103.8</v>
      </c>
      <c r="AM115" s="14">
        <f>AM114+SUMIFS(Setting!$E$30:$E$39,Setting!$A$30:$A$39,AM$4,Setting!$C$30:$C$39,"&lt;="&amp;($AK115-1),Setting!$D$30:$D$39,"&gt;="&amp;($AK115-1))</f>
        <v>83.6</v>
      </c>
    </row>
    <row r="116" ht="15.75" customHeight="1">
      <c r="AK116" s="14">
        <v>111.0</v>
      </c>
      <c r="AL116" s="14">
        <f>AL115+SUMIFS(Setting!$E$30:$E$39,Setting!$A$30:$A$39,AL$4,Setting!$C$30:$C$39,"&lt;="&amp;($AK116-1),Setting!$D$30:$D$39,"&gt;="&amp;($AK116-1))</f>
        <v>104.4</v>
      </c>
      <c r="AM116" s="14">
        <f>AM115+SUMIFS(Setting!$E$30:$E$39,Setting!$A$30:$A$39,AM$4,Setting!$C$30:$C$39,"&lt;="&amp;($AK116-1),Setting!$D$30:$D$39,"&gt;="&amp;($AK116-1))</f>
        <v>83.8</v>
      </c>
    </row>
    <row r="117" ht="15.75" customHeight="1">
      <c r="AK117" s="14">
        <v>112.0</v>
      </c>
      <c r="AL117" s="14">
        <f>AL116+SUMIFS(Setting!$E$30:$E$39,Setting!$A$30:$A$39,AL$4,Setting!$C$30:$C$39,"&lt;="&amp;($AK117-1),Setting!$D$30:$D$39,"&gt;="&amp;($AK117-1))</f>
        <v>105</v>
      </c>
      <c r="AM117" s="14">
        <f>AM116+SUMIFS(Setting!$E$30:$E$39,Setting!$A$30:$A$39,AM$4,Setting!$C$30:$C$39,"&lt;="&amp;($AK117-1),Setting!$D$30:$D$39,"&gt;="&amp;($AK117-1))</f>
        <v>84</v>
      </c>
    </row>
    <row r="118" ht="15.75" customHeight="1">
      <c r="AK118" s="14">
        <v>113.0</v>
      </c>
      <c r="AL118" s="14">
        <f>AL117+SUMIFS(Setting!$E$30:$E$39,Setting!$A$30:$A$39,AL$4,Setting!$C$30:$C$39,"&lt;="&amp;($AK118-1),Setting!$D$30:$D$39,"&gt;="&amp;($AK118-1))</f>
        <v>105.6</v>
      </c>
      <c r="AM118" s="14">
        <f>AM117+SUMIFS(Setting!$E$30:$E$39,Setting!$A$30:$A$39,AM$4,Setting!$C$30:$C$39,"&lt;="&amp;($AK118-1),Setting!$D$30:$D$39,"&gt;="&amp;($AK118-1))</f>
        <v>84.2</v>
      </c>
    </row>
    <row r="119" ht="15.75" customHeight="1">
      <c r="AK119" s="14">
        <v>114.0</v>
      </c>
      <c r="AL119" s="14">
        <f>AL118+SUMIFS(Setting!$E$30:$E$39,Setting!$A$30:$A$39,AL$4,Setting!$C$30:$C$39,"&lt;="&amp;($AK119-1),Setting!$D$30:$D$39,"&gt;="&amp;($AK119-1))</f>
        <v>106.2</v>
      </c>
      <c r="AM119" s="14">
        <f>AM118+SUMIFS(Setting!$E$30:$E$39,Setting!$A$30:$A$39,AM$4,Setting!$C$30:$C$39,"&lt;="&amp;($AK119-1),Setting!$D$30:$D$39,"&gt;="&amp;($AK119-1))</f>
        <v>84.4</v>
      </c>
    </row>
    <row r="120" ht="15.75" customHeight="1">
      <c r="AK120" s="14">
        <v>115.0</v>
      </c>
      <c r="AL120" s="14">
        <f>AL119+SUMIFS(Setting!$E$30:$E$39,Setting!$A$30:$A$39,AL$4,Setting!$C$30:$C$39,"&lt;="&amp;($AK120-1),Setting!$D$30:$D$39,"&gt;="&amp;($AK120-1))</f>
        <v>106.8</v>
      </c>
      <c r="AM120" s="14">
        <f>AM119+SUMIFS(Setting!$E$30:$E$39,Setting!$A$30:$A$39,AM$4,Setting!$C$30:$C$39,"&lt;="&amp;($AK120-1),Setting!$D$30:$D$39,"&gt;="&amp;($AK120-1))</f>
        <v>84.6</v>
      </c>
    </row>
    <row r="121" ht="15.75" customHeight="1">
      <c r="AK121" s="14">
        <v>116.0</v>
      </c>
      <c r="AL121" s="14">
        <f>AL120+SUMIFS(Setting!$E$30:$E$39,Setting!$A$30:$A$39,AL$4,Setting!$C$30:$C$39,"&lt;="&amp;($AK121-1),Setting!$D$30:$D$39,"&gt;="&amp;($AK121-1))</f>
        <v>107.4</v>
      </c>
      <c r="AM121" s="14">
        <f>AM120+SUMIFS(Setting!$E$30:$E$39,Setting!$A$30:$A$39,AM$4,Setting!$C$30:$C$39,"&lt;="&amp;($AK121-1),Setting!$D$30:$D$39,"&gt;="&amp;($AK121-1))</f>
        <v>84.8</v>
      </c>
    </row>
    <row r="122" ht="15.75" customHeight="1">
      <c r="AK122" s="14">
        <v>117.0</v>
      </c>
      <c r="AL122" s="14">
        <f>AL121+SUMIFS(Setting!$E$30:$E$39,Setting!$A$30:$A$39,AL$4,Setting!$C$30:$C$39,"&lt;="&amp;($AK122-1),Setting!$D$30:$D$39,"&gt;="&amp;($AK122-1))</f>
        <v>108</v>
      </c>
      <c r="AM122" s="14">
        <f>AM121+SUMIFS(Setting!$E$30:$E$39,Setting!$A$30:$A$39,AM$4,Setting!$C$30:$C$39,"&lt;="&amp;($AK122-1),Setting!$D$30:$D$39,"&gt;="&amp;($AK122-1))</f>
        <v>85</v>
      </c>
    </row>
    <row r="123" ht="15.75" customHeight="1">
      <c r="AK123" s="14">
        <v>118.0</v>
      </c>
      <c r="AL123" s="14">
        <f>AL122+SUMIFS(Setting!$E$30:$E$39,Setting!$A$30:$A$39,AL$4,Setting!$C$30:$C$39,"&lt;="&amp;($AK123-1),Setting!$D$30:$D$39,"&gt;="&amp;($AK123-1))</f>
        <v>108.6</v>
      </c>
      <c r="AM123" s="14">
        <f>AM122+SUMIFS(Setting!$E$30:$E$39,Setting!$A$30:$A$39,AM$4,Setting!$C$30:$C$39,"&lt;="&amp;($AK123-1),Setting!$D$30:$D$39,"&gt;="&amp;($AK123-1))</f>
        <v>85.2</v>
      </c>
    </row>
    <row r="124" ht="15.75" customHeight="1">
      <c r="AK124" s="14">
        <v>119.0</v>
      </c>
      <c r="AL124" s="14">
        <f>AL123+SUMIFS(Setting!$E$30:$E$39,Setting!$A$30:$A$39,AL$4,Setting!$C$30:$C$39,"&lt;="&amp;($AK124-1),Setting!$D$30:$D$39,"&gt;="&amp;($AK124-1))</f>
        <v>109.2</v>
      </c>
      <c r="AM124" s="14">
        <f>AM123+SUMIFS(Setting!$E$30:$E$39,Setting!$A$30:$A$39,AM$4,Setting!$C$30:$C$39,"&lt;="&amp;($AK124-1),Setting!$D$30:$D$39,"&gt;="&amp;($AK124-1))</f>
        <v>85.4</v>
      </c>
    </row>
    <row r="125" ht="15.75" customHeight="1">
      <c r="AK125" s="14">
        <v>120.0</v>
      </c>
      <c r="AL125" s="14">
        <f>AL124+SUMIFS(Setting!$E$30:$E$39,Setting!$A$30:$A$39,AL$4,Setting!$C$30:$C$39,"&lt;="&amp;($AK125-1),Setting!$D$30:$D$39,"&gt;="&amp;($AK125-1))</f>
        <v>109.8</v>
      </c>
      <c r="AM125" s="14">
        <f>AM124+SUMIFS(Setting!$E$30:$E$39,Setting!$A$30:$A$39,AM$4,Setting!$C$30:$C$39,"&lt;="&amp;($AK125-1),Setting!$D$30:$D$39,"&gt;="&amp;($AK125-1))</f>
        <v>85.6</v>
      </c>
    </row>
    <row r="126" ht="15.75" customHeight="1">
      <c r="AK126" s="14">
        <v>121.0</v>
      </c>
      <c r="AL126" s="14">
        <f>AL125+SUMIFS(Setting!$E$30:$E$39,Setting!$A$30:$A$39,AL$4,Setting!$C$30:$C$39,"&lt;="&amp;($AK126-1),Setting!$D$30:$D$39,"&gt;="&amp;($AK126-1))</f>
        <v>110.4</v>
      </c>
      <c r="AM126" s="14">
        <f>AM125+SUMIFS(Setting!$E$30:$E$39,Setting!$A$30:$A$39,AM$4,Setting!$C$30:$C$39,"&lt;="&amp;($AK126-1),Setting!$D$30:$D$39,"&gt;="&amp;($AK126-1))</f>
        <v>85.8</v>
      </c>
    </row>
    <row r="127" ht="15.75" customHeight="1">
      <c r="AK127" s="14">
        <v>122.0</v>
      </c>
      <c r="AL127" s="14">
        <f>AL126+SUMIFS(Setting!$E$30:$E$39,Setting!$A$30:$A$39,AL$4,Setting!$C$30:$C$39,"&lt;="&amp;($AK127-1),Setting!$D$30:$D$39,"&gt;="&amp;($AK127-1))</f>
        <v>111</v>
      </c>
      <c r="AM127" s="14">
        <f>AM126+SUMIFS(Setting!$E$30:$E$39,Setting!$A$30:$A$39,AM$4,Setting!$C$30:$C$39,"&lt;="&amp;($AK127-1),Setting!$D$30:$D$39,"&gt;="&amp;($AK127-1))</f>
        <v>86</v>
      </c>
    </row>
    <row r="128" ht="15.75" customHeight="1">
      <c r="AK128" s="14">
        <v>123.0</v>
      </c>
      <c r="AL128" s="14">
        <f>AL127+SUMIFS(Setting!$E$30:$E$39,Setting!$A$30:$A$39,AL$4,Setting!$C$30:$C$39,"&lt;="&amp;($AK128-1),Setting!$D$30:$D$39,"&gt;="&amp;($AK128-1))</f>
        <v>111.6</v>
      </c>
      <c r="AM128" s="14">
        <f>AM127+SUMIFS(Setting!$E$30:$E$39,Setting!$A$30:$A$39,AM$4,Setting!$C$30:$C$39,"&lt;="&amp;($AK128-1),Setting!$D$30:$D$39,"&gt;="&amp;($AK128-1))</f>
        <v>86.2</v>
      </c>
    </row>
    <row r="129" ht="15.75" customHeight="1">
      <c r="AK129" s="14">
        <v>124.0</v>
      </c>
      <c r="AL129" s="14">
        <f>AL128+SUMIFS(Setting!$E$30:$E$39,Setting!$A$30:$A$39,AL$4,Setting!$C$30:$C$39,"&lt;="&amp;($AK129-1),Setting!$D$30:$D$39,"&gt;="&amp;($AK129-1))</f>
        <v>112.2</v>
      </c>
      <c r="AM129" s="14">
        <f>AM128+SUMIFS(Setting!$E$30:$E$39,Setting!$A$30:$A$39,AM$4,Setting!$C$30:$C$39,"&lt;="&amp;($AK129-1),Setting!$D$30:$D$39,"&gt;="&amp;($AK129-1))</f>
        <v>86.4</v>
      </c>
    </row>
    <row r="130" ht="15.75" customHeight="1">
      <c r="AK130" s="14">
        <v>125.0</v>
      </c>
      <c r="AL130" s="14">
        <f>AL129+SUMIFS(Setting!$E$30:$E$39,Setting!$A$30:$A$39,AL$4,Setting!$C$30:$C$39,"&lt;="&amp;($AK130-1),Setting!$D$30:$D$39,"&gt;="&amp;($AK130-1))</f>
        <v>112.8</v>
      </c>
      <c r="AM130" s="14">
        <f>AM129+SUMIFS(Setting!$E$30:$E$39,Setting!$A$30:$A$39,AM$4,Setting!$C$30:$C$39,"&lt;="&amp;($AK130-1),Setting!$D$30:$D$39,"&gt;="&amp;($AK130-1))</f>
        <v>86.6</v>
      </c>
    </row>
    <row r="131" ht="15.75" customHeight="1">
      <c r="AK131" s="14">
        <v>126.0</v>
      </c>
      <c r="AL131" s="14">
        <f>AL130+SUMIFS(Setting!$E$30:$E$39,Setting!$A$30:$A$39,AL$4,Setting!$C$30:$C$39,"&lt;="&amp;($AK131-1),Setting!$D$30:$D$39,"&gt;="&amp;($AK131-1))</f>
        <v>113.4</v>
      </c>
      <c r="AM131" s="14">
        <f>AM130+SUMIFS(Setting!$E$30:$E$39,Setting!$A$30:$A$39,AM$4,Setting!$C$30:$C$39,"&lt;="&amp;($AK131-1),Setting!$D$30:$D$39,"&gt;="&amp;($AK131-1))</f>
        <v>86.8</v>
      </c>
    </row>
    <row r="132" ht="15.75" customHeight="1">
      <c r="AK132" s="14">
        <v>127.0</v>
      </c>
      <c r="AL132" s="14">
        <f>AL131+SUMIFS(Setting!$E$30:$E$39,Setting!$A$30:$A$39,AL$4,Setting!$C$30:$C$39,"&lt;="&amp;($AK132-1),Setting!$D$30:$D$39,"&gt;="&amp;($AK132-1))</f>
        <v>113.8</v>
      </c>
      <c r="AM132" s="14">
        <f>AM131+SUMIFS(Setting!$E$30:$E$39,Setting!$A$30:$A$39,AM$4,Setting!$C$30:$C$39,"&lt;="&amp;($AK132-1),Setting!$D$30:$D$39,"&gt;="&amp;($AK132-1))</f>
        <v>87</v>
      </c>
    </row>
    <row r="133" ht="15.75" customHeight="1">
      <c r="AK133" s="14">
        <v>128.0</v>
      </c>
      <c r="AL133" s="14">
        <f>AL132+SUMIFS(Setting!$E$30:$E$39,Setting!$A$30:$A$39,AL$4,Setting!$C$30:$C$39,"&lt;="&amp;($AK133-1),Setting!$D$30:$D$39,"&gt;="&amp;($AK133-1))</f>
        <v>114.2</v>
      </c>
      <c r="AM133" s="14">
        <f>AM132+SUMIFS(Setting!$E$30:$E$39,Setting!$A$30:$A$39,AM$4,Setting!$C$30:$C$39,"&lt;="&amp;($AK133-1),Setting!$D$30:$D$39,"&gt;="&amp;($AK133-1))</f>
        <v>87.2</v>
      </c>
    </row>
    <row r="134" ht="15.75" customHeight="1">
      <c r="AK134" s="14">
        <v>129.0</v>
      </c>
      <c r="AL134" s="14">
        <f>AL133+SUMIFS(Setting!$E$30:$E$39,Setting!$A$30:$A$39,AL$4,Setting!$C$30:$C$39,"&lt;="&amp;($AK134-1),Setting!$D$30:$D$39,"&gt;="&amp;($AK134-1))</f>
        <v>114.6</v>
      </c>
      <c r="AM134" s="14">
        <f>AM133+SUMIFS(Setting!$E$30:$E$39,Setting!$A$30:$A$39,AM$4,Setting!$C$30:$C$39,"&lt;="&amp;($AK134-1),Setting!$D$30:$D$39,"&gt;="&amp;($AK134-1))</f>
        <v>87.4</v>
      </c>
    </row>
    <row r="135" ht="15.75" customHeight="1">
      <c r="AK135" s="14">
        <v>130.0</v>
      </c>
      <c r="AL135" s="14">
        <f>AL134+SUMIFS(Setting!$E$30:$E$39,Setting!$A$30:$A$39,AL$4,Setting!$C$30:$C$39,"&lt;="&amp;($AK135-1),Setting!$D$30:$D$39,"&gt;="&amp;($AK135-1))</f>
        <v>115</v>
      </c>
      <c r="AM135" s="14">
        <f>AM134+SUMIFS(Setting!$E$30:$E$39,Setting!$A$30:$A$39,AM$4,Setting!$C$30:$C$39,"&lt;="&amp;($AK135-1),Setting!$D$30:$D$39,"&gt;="&amp;($AK135-1))</f>
        <v>87.6</v>
      </c>
    </row>
    <row r="136" ht="15.75" customHeight="1">
      <c r="AK136" s="14">
        <v>131.0</v>
      </c>
      <c r="AL136" s="14">
        <f>AL135+SUMIFS(Setting!$E$30:$E$39,Setting!$A$30:$A$39,AL$4,Setting!$C$30:$C$39,"&lt;="&amp;($AK136-1),Setting!$D$30:$D$39,"&gt;="&amp;($AK136-1))</f>
        <v>115.4</v>
      </c>
      <c r="AM136" s="14">
        <f>AM135+SUMIFS(Setting!$E$30:$E$39,Setting!$A$30:$A$39,AM$4,Setting!$C$30:$C$39,"&lt;="&amp;($AK136-1),Setting!$D$30:$D$39,"&gt;="&amp;($AK136-1))</f>
        <v>87.8</v>
      </c>
    </row>
    <row r="137" ht="15.75" customHeight="1">
      <c r="AK137" s="14">
        <v>132.0</v>
      </c>
      <c r="AL137" s="14">
        <f>AL136+SUMIFS(Setting!$E$30:$E$39,Setting!$A$30:$A$39,AL$4,Setting!$C$30:$C$39,"&lt;="&amp;($AK137-1),Setting!$D$30:$D$39,"&gt;="&amp;($AK137-1))</f>
        <v>115.8</v>
      </c>
      <c r="AM137" s="14">
        <f>AM136+SUMIFS(Setting!$E$30:$E$39,Setting!$A$30:$A$39,AM$4,Setting!$C$30:$C$39,"&lt;="&amp;($AK137-1),Setting!$D$30:$D$39,"&gt;="&amp;($AK137-1))</f>
        <v>88</v>
      </c>
    </row>
    <row r="138" ht="15.75" customHeight="1">
      <c r="AK138" s="14">
        <v>133.0</v>
      </c>
      <c r="AL138" s="14">
        <f>AL137+SUMIFS(Setting!$E$30:$E$39,Setting!$A$30:$A$39,AL$4,Setting!$C$30:$C$39,"&lt;="&amp;($AK138-1),Setting!$D$30:$D$39,"&gt;="&amp;($AK138-1))</f>
        <v>116.2</v>
      </c>
      <c r="AM138" s="14">
        <f>AM137+SUMIFS(Setting!$E$30:$E$39,Setting!$A$30:$A$39,AM$4,Setting!$C$30:$C$39,"&lt;="&amp;($AK138-1),Setting!$D$30:$D$39,"&gt;="&amp;($AK138-1))</f>
        <v>88.2</v>
      </c>
    </row>
    <row r="139" ht="15.75" customHeight="1">
      <c r="AK139" s="14">
        <v>134.0</v>
      </c>
      <c r="AL139" s="14">
        <f>AL138+SUMIFS(Setting!$E$30:$E$39,Setting!$A$30:$A$39,AL$4,Setting!$C$30:$C$39,"&lt;="&amp;($AK139-1),Setting!$D$30:$D$39,"&gt;="&amp;($AK139-1))</f>
        <v>116.6</v>
      </c>
      <c r="AM139" s="14">
        <f>AM138+SUMIFS(Setting!$E$30:$E$39,Setting!$A$30:$A$39,AM$4,Setting!$C$30:$C$39,"&lt;="&amp;($AK139-1),Setting!$D$30:$D$39,"&gt;="&amp;($AK139-1))</f>
        <v>88.4</v>
      </c>
    </row>
    <row r="140" ht="15.75" customHeight="1">
      <c r="AK140" s="14">
        <v>135.0</v>
      </c>
      <c r="AL140" s="14">
        <f>AL139+SUMIFS(Setting!$E$30:$E$39,Setting!$A$30:$A$39,AL$4,Setting!$C$30:$C$39,"&lt;="&amp;($AK140-1),Setting!$D$30:$D$39,"&gt;="&amp;($AK140-1))</f>
        <v>117</v>
      </c>
      <c r="AM140" s="14">
        <f>AM139+SUMIFS(Setting!$E$30:$E$39,Setting!$A$30:$A$39,AM$4,Setting!$C$30:$C$39,"&lt;="&amp;($AK140-1),Setting!$D$30:$D$39,"&gt;="&amp;($AK140-1))</f>
        <v>88.6</v>
      </c>
    </row>
    <row r="141" ht="15.75" customHeight="1">
      <c r="AK141" s="14">
        <v>136.0</v>
      </c>
      <c r="AL141" s="14">
        <f>AL140+SUMIFS(Setting!$E$30:$E$39,Setting!$A$30:$A$39,AL$4,Setting!$C$30:$C$39,"&lt;="&amp;($AK141-1),Setting!$D$30:$D$39,"&gt;="&amp;($AK141-1))</f>
        <v>117.4</v>
      </c>
      <c r="AM141" s="14">
        <f>AM140+SUMIFS(Setting!$E$30:$E$39,Setting!$A$30:$A$39,AM$4,Setting!$C$30:$C$39,"&lt;="&amp;($AK141-1),Setting!$D$30:$D$39,"&gt;="&amp;($AK141-1))</f>
        <v>88.8</v>
      </c>
    </row>
    <row r="142" ht="15.75" customHeight="1">
      <c r="AK142" s="14">
        <v>137.0</v>
      </c>
      <c r="AL142" s="14">
        <f>AL141+SUMIFS(Setting!$E$30:$E$39,Setting!$A$30:$A$39,AL$4,Setting!$C$30:$C$39,"&lt;="&amp;($AK142-1),Setting!$D$30:$D$39,"&gt;="&amp;($AK142-1))</f>
        <v>117.8</v>
      </c>
      <c r="AM142" s="14">
        <f>AM141+SUMIFS(Setting!$E$30:$E$39,Setting!$A$30:$A$39,AM$4,Setting!$C$30:$C$39,"&lt;="&amp;($AK142-1),Setting!$D$30:$D$39,"&gt;="&amp;($AK142-1))</f>
        <v>89</v>
      </c>
    </row>
    <row r="143" ht="15.75" customHeight="1">
      <c r="AK143" s="14">
        <v>138.0</v>
      </c>
      <c r="AL143" s="14">
        <f>AL142+SUMIFS(Setting!$E$30:$E$39,Setting!$A$30:$A$39,AL$4,Setting!$C$30:$C$39,"&lt;="&amp;($AK143-1),Setting!$D$30:$D$39,"&gt;="&amp;($AK143-1))</f>
        <v>118.2</v>
      </c>
      <c r="AM143" s="14">
        <f>AM142+SUMIFS(Setting!$E$30:$E$39,Setting!$A$30:$A$39,AM$4,Setting!$C$30:$C$39,"&lt;="&amp;($AK143-1),Setting!$D$30:$D$39,"&gt;="&amp;($AK143-1))</f>
        <v>89.2</v>
      </c>
    </row>
    <row r="144" ht="15.75" customHeight="1">
      <c r="AK144" s="14">
        <v>139.0</v>
      </c>
      <c r="AL144" s="14">
        <f>AL143+SUMIFS(Setting!$E$30:$E$39,Setting!$A$30:$A$39,AL$4,Setting!$C$30:$C$39,"&lt;="&amp;($AK144-1),Setting!$D$30:$D$39,"&gt;="&amp;($AK144-1))</f>
        <v>118.6</v>
      </c>
      <c r="AM144" s="14">
        <f>AM143+SUMIFS(Setting!$E$30:$E$39,Setting!$A$30:$A$39,AM$4,Setting!$C$30:$C$39,"&lt;="&amp;($AK144-1),Setting!$D$30:$D$39,"&gt;="&amp;($AK144-1))</f>
        <v>89.4</v>
      </c>
    </row>
    <row r="145" ht="15.75" customHeight="1">
      <c r="AK145" s="14">
        <v>140.0</v>
      </c>
      <c r="AL145" s="14">
        <f>AL144+SUMIFS(Setting!$E$30:$E$39,Setting!$A$30:$A$39,AL$4,Setting!$C$30:$C$39,"&lt;="&amp;($AK145-1),Setting!$D$30:$D$39,"&gt;="&amp;($AK145-1))</f>
        <v>119</v>
      </c>
      <c r="AM145" s="14">
        <f>AM144+SUMIFS(Setting!$E$30:$E$39,Setting!$A$30:$A$39,AM$4,Setting!$C$30:$C$39,"&lt;="&amp;($AK145-1),Setting!$D$30:$D$39,"&gt;="&amp;($AK145-1))</f>
        <v>89.6</v>
      </c>
    </row>
    <row r="146" ht="15.75" customHeight="1">
      <c r="AK146" s="14">
        <v>141.0</v>
      </c>
      <c r="AL146" s="14">
        <f>AL145+SUMIFS(Setting!$E$30:$E$39,Setting!$A$30:$A$39,AL$4,Setting!$C$30:$C$39,"&lt;="&amp;($AK146-1),Setting!$D$30:$D$39,"&gt;="&amp;($AK146-1))</f>
        <v>119.4</v>
      </c>
      <c r="AM146" s="14">
        <f>AM145+SUMIFS(Setting!$E$30:$E$39,Setting!$A$30:$A$39,AM$4,Setting!$C$30:$C$39,"&lt;="&amp;($AK146-1),Setting!$D$30:$D$39,"&gt;="&amp;($AK146-1))</f>
        <v>89.8</v>
      </c>
    </row>
    <row r="147" ht="15.75" customHeight="1">
      <c r="AK147" s="14">
        <v>142.0</v>
      </c>
      <c r="AL147" s="14">
        <f>AL146+SUMIFS(Setting!$E$30:$E$39,Setting!$A$30:$A$39,AL$4,Setting!$C$30:$C$39,"&lt;="&amp;($AK147-1),Setting!$D$30:$D$39,"&gt;="&amp;($AK147-1))</f>
        <v>119.8</v>
      </c>
      <c r="AM147" s="14">
        <f>AM146+SUMIFS(Setting!$E$30:$E$39,Setting!$A$30:$A$39,AM$4,Setting!$C$30:$C$39,"&lt;="&amp;($AK147-1),Setting!$D$30:$D$39,"&gt;="&amp;($AK147-1))</f>
        <v>90</v>
      </c>
    </row>
    <row r="148" ht="15.75" customHeight="1">
      <c r="AK148" s="14">
        <v>143.0</v>
      </c>
      <c r="AL148" s="14">
        <f>AL147+SUMIFS(Setting!$E$30:$E$39,Setting!$A$30:$A$39,AL$4,Setting!$C$30:$C$39,"&lt;="&amp;($AK148-1),Setting!$D$30:$D$39,"&gt;="&amp;($AK148-1))</f>
        <v>120.2</v>
      </c>
      <c r="AM148" s="14">
        <f>AM147+SUMIFS(Setting!$E$30:$E$39,Setting!$A$30:$A$39,AM$4,Setting!$C$30:$C$39,"&lt;="&amp;($AK148-1),Setting!$D$30:$D$39,"&gt;="&amp;($AK148-1))</f>
        <v>90.2</v>
      </c>
    </row>
    <row r="149" ht="15.75" customHeight="1">
      <c r="AK149" s="14">
        <v>144.0</v>
      </c>
      <c r="AL149" s="14">
        <f>AL148+SUMIFS(Setting!$E$30:$E$39,Setting!$A$30:$A$39,AL$4,Setting!$C$30:$C$39,"&lt;="&amp;($AK149-1),Setting!$D$30:$D$39,"&gt;="&amp;($AK149-1))</f>
        <v>120.6</v>
      </c>
      <c r="AM149" s="14">
        <f>AM148+SUMIFS(Setting!$E$30:$E$39,Setting!$A$30:$A$39,AM$4,Setting!$C$30:$C$39,"&lt;="&amp;($AK149-1),Setting!$D$30:$D$39,"&gt;="&amp;($AK149-1))</f>
        <v>90.4</v>
      </c>
    </row>
    <row r="150" ht="15.75" customHeight="1">
      <c r="AK150" s="14">
        <v>145.0</v>
      </c>
      <c r="AL150" s="14">
        <f>AL149+SUMIFS(Setting!$E$30:$E$39,Setting!$A$30:$A$39,AL$4,Setting!$C$30:$C$39,"&lt;="&amp;($AK150-1),Setting!$D$30:$D$39,"&gt;="&amp;($AK150-1))</f>
        <v>121</v>
      </c>
      <c r="AM150" s="14">
        <f>AM149+SUMIFS(Setting!$E$30:$E$39,Setting!$A$30:$A$39,AM$4,Setting!$C$30:$C$39,"&lt;="&amp;($AK150-1),Setting!$D$30:$D$39,"&gt;="&amp;($AK150-1))</f>
        <v>90.6</v>
      </c>
    </row>
    <row r="151" ht="15.75" customHeight="1">
      <c r="AK151" s="14">
        <v>146.0</v>
      </c>
      <c r="AL151" s="14">
        <f>AL150+SUMIFS(Setting!$E$30:$E$39,Setting!$A$30:$A$39,AL$4,Setting!$C$30:$C$39,"&lt;="&amp;($AK151-1),Setting!$D$30:$D$39,"&gt;="&amp;($AK151-1))</f>
        <v>121.4</v>
      </c>
      <c r="AM151" s="14">
        <f>AM150+SUMIFS(Setting!$E$30:$E$39,Setting!$A$30:$A$39,AM$4,Setting!$C$30:$C$39,"&lt;="&amp;($AK151-1),Setting!$D$30:$D$39,"&gt;="&amp;($AK151-1))</f>
        <v>90.8</v>
      </c>
    </row>
    <row r="152" ht="15.75" customHeight="1">
      <c r="AK152" s="14">
        <v>147.0</v>
      </c>
      <c r="AL152" s="14">
        <f>AL151+SUMIFS(Setting!$E$30:$E$39,Setting!$A$30:$A$39,AL$4,Setting!$C$30:$C$39,"&lt;="&amp;($AK152-1),Setting!$D$30:$D$39,"&gt;="&amp;($AK152-1))</f>
        <v>121.8</v>
      </c>
      <c r="AM152" s="14">
        <f>AM151+SUMIFS(Setting!$E$30:$E$39,Setting!$A$30:$A$39,AM$4,Setting!$C$30:$C$39,"&lt;="&amp;($AK152-1),Setting!$D$30:$D$39,"&gt;="&amp;($AK152-1))</f>
        <v>91</v>
      </c>
    </row>
    <row r="153" ht="15.75" customHeight="1">
      <c r="AK153" s="14">
        <v>148.0</v>
      </c>
      <c r="AL153" s="14">
        <f>AL152+SUMIFS(Setting!$E$30:$E$39,Setting!$A$30:$A$39,AL$4,Setting!$C$30:$C$39,"&lt;="&amp;($AK153-1),Setting!$D$30:$D$39,"&gt;="&amp;($AK153-1))</f>
        <v>122</v>
      </c>
      <c r="AM153" s="14">
        <f>AM152+SUMIFS(Setting!$E$30:$E$39,Setting!$A$30:$A$39,AM$4,Setting!$C$30:$C$39,"&lt;="&amp;($AK153-1),Setting!$D$30:$D$39,"&gt;="&amp;($AK153-1))</f>
        <v>91.2</v>
      </c>
    </row>
    <row r="154" ht="15.75" customHeight="1">
      <c r="AK154" s="14">
        <v>149.0</v>
      </c>
      <c r="AL154" s="14">
        <f>AL153+SUMIFS(Setting!$E$30:$E$39,Setting!$A$30:$A$39,AL$4,Setting!$C$30:$C$39,"&lt;="&amp;($AK154-1),Setting!$D$30:$D$39,"&gt;="&amp;($AK154-1))</f>
        <v>122.2</v>
      </c>
      <c r="AM154" s="14">
        <f>AM153+SUMIFS(Setting!$E$30:$E$39,Setting!$A$30:$A$39,AM$4,Setting!$C$30:$C$39,"&lt;="&amp;($AK154-1),Setting!$D$30:$D$39,"&gt;="&amp;($AK154-1))</f>
        <v>91.4</v>
      </c>
    </row>
    <row r="155" ht="15.75" customHeight="1">
      <c r="AK155" s="14">
        <v>150.0</v>
      </c>
      <c r="AL155" s="14">
        <f>AL154+SUMIFS(Setting!$E$30:$E$39,Setting!$A$30:$A$39,AL$4,Setting!$C$30:$C$39,"&lt;="&amp;($AK155-1),Setting!$D$30:$D$39,"&gt;="&amp;($AK155-1))</f>
        <v>122.4</v>
      </c>
      <c r="AM155" s="14">
        <f>AM154+SUMIFS(Setting!$E$30:$E$39,Setting!$A$30:$A$39,AM$4,Setting!$C$30:$C$39,"&lt;="&amp;($AK155-1),Setting!$D$30:$D$39,"&gt;="&amp;($AK155-1))</f>
        <v>91.6</v>
      </c>
    </row>
    <row r="156" ht="15.75" customHeight="1">
      <c r="AK156" s="14">
        <v>151.0</v>
      </c>
      <c r="AL156" s="14">
        <f>AL155+SUMIFS(Setting!$E$30:$E$39,Setting!$A$30:$A$39,AL$4,Setting!$C$30:$C$39,"&lt;="&amp;($AK156-1),Setting!$D$30:$D$39,"&gt;="&amp;($AK156-1))</f>
        <v>122.6</v>
      </c>
      <c r="AM156" s="14">
        <f>AM155+SUMIFS(Setting!$E$30:$E$39,Setting!$A$30:$A$39,AM$4,Setting!$C$30:$C$39,"&lt;="&amp;($AK156-1),Setting!$D$30:$D$39,"&gt;="&amp;($AK156-1))</f>
        <v>91.8</v>
      </c>
    </row>
    <row r="157" ht="15.75" customHeight="1">
      <c r="AK157" s="14">
        <v>152.0</v>
      </c>
      <c r="AL157" s="14">
        <f>AL156+SUMIFS(Setting!$E$30:$E$39,Setting!$A$30:$A$39,AL$4,Setting!$C$30:$C$39,"&lt;="&amp;($AK157-1),Setting!$D$30:$D$39,"&gt;="&amp;($AK157-1))</f>
        <v>122.8</v>
      </c>
      <c r="AM157" s="14">
        <f>AM156+SUMIFS(Setting!$E$30:$E$39,Setting!$A$30:$A$39,AM$4,Setting!$C$30:$C$39,"&lt;="&amp;($AK157-1),Setting!$D$30:$D$39,"&gt;="&amp;($AK157-1))</f>
        <v>92</v>
      </c>
    </row>
    <row r="158" ht="15.75" customHeight="1">
      <c r="AK158" s="14">
        <v>153.0</v>
      </c>
      <c r="AL158" s="14">
        <f>AL157+SUMIFS(Setting!$E$30:$E$39,Setting!$A$30:$A$39,AL$4,Setting!$C$30:$C$39,"&lt;="&amp;($AK158-1),Setting!$D$30:$D$39,"&gt;="&amp;($AK158-1))</f>
        <v>123</v>
      </c>
      <c r="AM158" s="14">
        <f>AM157+SUMIFS(Setting!$E$30:$E$39,Setting!$A$30:$A$39,AM$4,Setting!$C$30:$C$39,"&lt;="&amp;($AK158-1),Setting!$D$30:$D$39,"&gt;="&amp;($AK158-1))</f>
        <v>92.2</v>
      </c>
    </row>
    <row r="159" ht="15.75" customHeight="1">
      <c r="AK159" s="14">
        <v>154.0</v>
      </c>
      <c r="AL159" s="14">
        <f>AL158+SUMIFS(Setting!$E$30:$E$39,Setting!$A$30:$A$39,AL$4,Setting!$C$30:$C$39,"&lt;="&amp;($AK159-1),Setting!$D$30:$D$39,"&gt;="&amp;($AK159-1))</f>
        <v>123.2</v>
      </c>
      <c r="AM159" s="14">
        <f>AM158+SUMIFS(Setting!$E$30:$E$39,Setting!$A$30:$A$39,AM$4,Setting!$C$30:$C$39,"&lt;="&amp;($AK159-1),Setting!$D$30:$D$39,"&gt;="&amp;($AK159-1))</f>
        <v>92.4</v>
      </c>
    </row>
    <row r="160" ht="15.75" customHeight="1">
      <c r="AK160" s="14">
        <v>155.0</v>
      </c>
      <c r="AL160" s="14">
        <f>AL159+SUMIFS(Setting!$E$30:$E$39,Setting!$A$30:$A$39,AL$4,Setting!$C$30:$C$39,"&lt;="&amp;($AK160-1),Setting!$D$30:$D$39,"&gt;="&amp;($AK160-1))</f>
        <v>123.4</v>
      </c>
      <c r="AM160" s="14">
        <f>AM159+SUMIFS(Setting!$E$30:$E$39,Setting!$A$30:$A$39,AM$4,Setting!$C$30:$C$39,"&lt;="&amp;($AK160-1),Setting!$D$30:$D$39,"&gt;="&amp;($AK160-1))</f>
        <v>92.6</v>
      </c>
    </row>
    <row r="161" ht="15.75" customHeight="1">
      <c r="AK161" s="14">
        <v>156.0</v>
      </c>
      <c r="AL161" s="14">
        <f>AL160+SUMIFS(Setting!$E$30:$E$39,Setting!$A$30:$A$39,AL$4,Setting!$C$30:$C$39,"&lt;="&amp;($AK161-1),Setting!$D$30:$D$39,"&gt;="&amp;($AK161-1))</f>
        <v>123.6</v>
      </c>
      <c r="AM161" s="14">
        <f>AM160+SUMIFS(Setting!$E$30:$E$39,Setting!$A$30:$A$39,AM$4,Setting!$C$30:$C$39,"&lt;="&amp;($AK161-1),Setting!$D$30:$D$39,"&gt;="&amp;($AK161-1))</f>
        <v>92.8</v>
      </c>
    </row>
    <row r="162" ht="15.75" customHeight="1">
      <c r="AK162" s="14">
        <v>157.0</v>
      </c>
      <c r="AL162" s="14">
        <f>AL161+SUMIFS(Setting!$E$30:$E$39,Setting!$A$30:$A$39,AL$4,Setting!$C$30:$C$39,"&lt;="&amp;($AK162-1),Setting!$D$30:$D$39,"&gt;="&amp;($AK162-1))</f>
        <v>123.8</v>
      </c>
      <c r="AM162" s="14">
        <f>AM161+SUMIFS(Setting!$E$30:$E$39,Setting!$A$30:$A$39,AM$4,Setting!$C$30:$C$39,"&lt;="&amp;($AK162-1),Setting!$D$30:$D$39,"&gt;="&amp;($AK162-1))</f>
        <v>93</v>
      </c>
    </row>
    <row r="163" ht="15.75" customHeight="1">
      <c r="AK163" s="14">
        <v>158.0</v>
      </c>
      <c r="AL163" s="14">
        <f>AL162+SUMIFS(Setting!$E$30:$E$39,Setting!$A$30:$A$39,AL$4,Setting!$C$30:$C$39,"&lt;="&amp;($AK163-1),Setting!$D$30:$D$39,"&gt;="&amp;($AK163-1))</f>
        <v>124</v>
      </c>
      <c r="AM163" s="14">
        <f>AM162+SUMIFS(Setting!$E$30:$E$39,Setting!$A$30:$A$39,AM$4,Setting!$C$30:$C$39,"&lt;="&amp;($AK163-1),Setting!$D$30:$D$39,"&gt;="&amp;($AK163-1))</f>
        <v>93.2</v>
      </c>
    </row>
    <row r="164" ht="15.75" customHeight="1">
      <c r="AK164" s="14">
        <v>159.0</v>
      </c>
      <c r="AL164" s="14">
        <f>AL163+SUMIFS(Setting!$E$30:$E$39,Setting!$A$30:$A$39,AL$4,Setting!$C$30:$C$39,"&lt;="&amp;($AK164-1),Setting!$D$30:$D$39,"&gt;="&amp;($AK164-1))</f>
        <v>124.2</v>
      </c>
      <c r="AM164" s="14">
        <f>AM163+SUMIFS(Setting!$E$30:$E$39,Setting!$A$30:$A$39,AM$4,Setting!$C$30:$C$39,"&lt;="&amp;($AK164-1),Setting!$D$30:$D$39,"&gt;="&amp;($AK164-1))</f>
        <v>93.4</v>
      </c>
    </row>
    <row r="165" ht="15.75" customHeight="1">
      <c r="AK165" s="14">
        <v>160.0</v>
      </c>
      <c r="AL165" s="14">
        <f>AL164+SUMIFS(Setting!$E$30:$E$39,Setting!$A$30:$A$39,AL$4,Setting!$C$30:$C$39,"&lt;="&amp;($AK165-1),Setting!$D$30:$D$39,"&gt;="&amp;($AK165-1))</f>
        <v>124.4</v>
      </c>
      <c r="AM165" s="14">
        <f>AM164+SUMIFS(Setting!$E$30:$E$39,Setting!$A$30:$A$39,AM$4,Setting!$C$30:$C$39,"&lt;="&amp;($AK165-1),Setting!$D$30:$D$39,"&gt;="&amp;($AK165-1))</f>
        <v>93.6</v>
      </c>
    </row>
    <row r="166" ht="15.75" customHeight="1">
      <c r="AK166" s="14">
        <v>161.0</v>
      </c>
      <c r="AL166" s="14">
        <f>AL165+SUMIFS(Setting!$E$30:$E$39,Setting!$A$30:$A$39,AL$4,Setting!$C$30:$C$39,"&lt;="&amp;($AK166-1),Setting!$D$30:$D$39,"&gt;="&amp;($AK166-1))</f>
        <v>124.6</v>
      </c>
      <c r="AM166" s="14">
        <f>AM165+SUMIFS(Setting!$E$30:$E$39,Setting!$A$30:$A$39,AM$4,Setting!$C$30:$C$39,"&lt;="&amp;($AK166-1),Setting!$D$30:$D$39,"&gt;="&amp;($AK166-1))</f>
        <v>93.8</v>
      </c>
    </row>
    <row r="167" ht="15.75" customHeight="1">
      <c r="AK167" s="14">
        <v>162.0</v>
      </c>
      <c r="AL167" s="14">
        <f>AL166+SUMIFS(Setting!$E$30:$E$39,Setting!$A$30:$A$39,AL$4,Setting!$C$30:$C$39,"&lt;="&amp;($AK167-1),Setting!$D$30:$D$39,"&gt;="&amp;($AK167-1))</f>
        <v>124.8</v>
      </c>
      <c r="AM167" s="14">
        <f>AM166+SUMIFS(Setting!$E$30:$E$39,Setting!$A$30:$A$39,AM$4,Setting!$C$30:$C$39,"&lt;="&amp;($AK167-1),Setting!$D$30:$D$39,"&gt;="&amp;($AK167-1))</f>
        <v>94</v>
      </c>
    </row>
    <row r="168" ht="15.75" customHeight="1">
      <c r="AK168" s="14">
        <v>163.0</v>
      </c>
      <c r="AL168" s="14">
        <f>AL167+SUMIFS(Setting!$E$30:$E$39,Setting!$A$30:$A$39,AL$4,Setting!$C$30:$C$39,"&lt;="&amp;($AK168-1),Setting!$D$30:$D$39,"&gt;="&amp;($AK168-1))</f>
        <v>125</v>
      </c>
      <c r="AM168" s="14">
        <f>AM167+SUMIFS(Setting!$E$30:$E$39,Setting!$A$30:$A$39,AM$4,Setting!$C$30:$C$39,"&lt;="&amp;($AK168-1),Setting!$D$30:$D$39,"&gt;="&amp;($AK168-1))</f>
        <v>94.2</v>
      </c>
    </row>
    <row r="169" ht="15.75" customHeight="1">
      <c r="AK169" s="14">
        <v>164.0</v>
      </c>
      <c r="AL169" s="14">
        <f>AL168+SUMIFS(Setting!$E$30:$E$39,Setting!$A$30:$A$39,AL$4,Setting!$C$30:$C$39,"&lt;="&amp;($AK169-1),Setting!$D$30:$D$39,"&gt;="&amp;($AK169-1))</f>
        <v>125.2</v>
      </c>
      <c r="AM169" s="14">
        <f>AM168+SUMIFS(Setting!$E$30:$E$39,Setting!$A$30:$A$39,AM$4,Setting!$C$30:$C$39,"&lt;="&amp;($AK169-1),Setting!$D$30:$D$39,"&gt;="&amp;($AK169-1))</f>
        <v>94.4</v>
      </c>
    </row>
    <row r="170" ht="15.75" customHeight="1">
      <c r="AK170" s="14">
        <v>165.0</v>
      </c>
      <c r="AL170" s="14">
        <f>AL169+SUMIFS(Setting!$E$30:$E$39,Setting!$A$30:$A$39,AL$4,Setting!$C$30:$C$39,"&lt;="&amp;($AK170-1),Setting!$D$30:$D$39,"&gt;="&amp;($AK170-1))</f>
        <v>125.4</v>
      </c>
      <c r="AM170" s="14">
        <f>AM169+SUMIFS(Setting!$E$30:$E$39,Setting!$A$30:$A$39,AM$4,Setting!$C$30:$C$39,"&lt;="&amp;($AK170-1),Setting!$D$30:$D$39,"&gt;="&amp;($AK170-1))</f>
        <v>94.6</v>
      </c>
    </row>
    <row r="171" ht="15.75" customHeight="1">
      <c r="AK171" s="14">
        <v>166.0</v>
      </c>
      <c r="AL171" s="14">
        <f>AL170+SUMIFS(Setting!$E$30:$E$39,Setting!$A$30:$A$39,AL$4,Setting!$C$30:$C$39,"&lt;="&amp;($AK171-1),Setting!$D$30:$D$39,"&gt;="&amp;($AK171-1))</f>
        <v>125.6</v>
      </c>
      <c r="AM171" s="14">
        <f>AM170+SUMIFS(Setting!$E$30:$E$39,Setting!$A$30:$A$39,AM$4,Setting!$C$30:$C$39,"&lt;="&amp;($AK171-1),Setting!$D$30:$D$39,"&gt;="&amp;($AK171-1))</f>
        <v>94.8</v>
      </c>
    </row>
    <row r="172" ht="15.75" customHeight="1">
      <c r="AK172" s="14">
        <v>167.0</v>
      </c>
      <c r="AL172" s="14">
        <f>AL171+SUMIFS(Setting!$E$30:$E$39,Setting!$A$30:$A$39,AL$4,Setting!$C$30:$C$39,"&lt;="&amp;($AK172-1),Setting!$D$30:$D$39,"&gt;="&amp;($AK172-1))</f>
        <v>125.8</v>
      </c>
      <c r="AM172" s="14">
        <f>AM171+SUMIFS(Setting!$E$30:$E$39,Setting!$A$30:$A$39,AM$4,Setting!$C$30:$C$39,"&lt;="&amp;($AK172-1),Setting!$D$30:$D$39,"&gt;="&amp;($AK172-1))</f>
        <v>95</v>
      </c>
    </row>
    <row r="173" ht="15.75" customHeight="1">
      <c r="AK173" s="14">
        <v>168.0</v>
      </c>
      <c r="AL173" s="14">
        <f>AL172+SUMIFS(Setting!$E$30:$E$39,Setting!$A$30:$A$39,AL$4,Setting!$C$30:$C$39,"&lt;="&amp;($AK173-1),Setting!$D$30:$D$39,"&gt;="&amp;($AK173-1))</f>
        <v>126</v>
      </c>
      <c r="AM173" s="14">
        <f>AM172+SUMIFS(Setting!$E$30:$E$39,Setting!$A$30:$A$39,AM$4,Setting!$C$30:$C$39,"&lt;="&amp;($AK173-1),Setting!$D$30:$D$39,"&gt;="&amp;($AK173-1))</f>
        <v>95.2</v>
      </c>
    </row>
    <row r="174" ht="15.75" customHeight="1">
      <c r="AK174" s="14">
        <v>169.0</v>
      </c>
      <c r="AL174" s="14">
        <f>AL173+SUMIFS(Setting!$E$30:$E$39,Setting!$A$30:$A$39,AL$4,Setting!$C$30:$C$39,"&lt;="&amp;($AK174-1),Setting!$D$30:$D$39,"&gt;="&amp;($AK174-1))</f>
        <v>126.2</v>
      </c>
      <c r="AM174" s="14">
        <f>AM173+SUMIFS(Setting!$E$30:$E$39,Setting!$A$30:$A$39,AM$4,Setting!$C$30:$C$39,"&lt;="&amp;($AK174-1),Setting!$D$30:$D$39,"&gt;="&amp;($AK174-1))</f>
        <v>95.4</v>
      </c>
    </row>
    <row r="175" ht="15.75" customHeight="1">
      <c r="AK175" s="14">
        <v>170.0</v>
      </c>
      <c r="AL175" s="14">
        <f>AL174+SUMIFS(Setting!$E$30:$E$39,Setting!$A$30:$A$39,AL$4,Setting!$C$30:$C$39,"&lt;="&amp;($AK175-1),Setting!$D$30:$D$39,"&gt;="&amp;($AK175-1))</f>
        <v>126.4</v>
      </c>
      <c r="AM175" s="14">
        <f>AM174+SUMIFS(Setting!$E$30:$E$39,Setting!$A$30:$A$39,AM$4,Setting!$C$30:$C$39,"&lt;="&amp;($AK175-1),Setting!$D$30:$D$39,"&gt;="&amp;($AK175-1))</f>
        <v>95.6</v>
      </c>
    </row>
    <row r="176" ht="15.75" customHeight="1">
      <c r="AK176" s="14">
        <v>171.0</v>
      </c>
      <c r="AL176" s="14">
        <f>AL175+SUMIFS(Setting!$E$30:$E$39,Setting!$A$30:$A$39,AL$4,Setting!$C$30:$C$39,"&lt;="&amp;($AK176-1),Setting!$D$30:$D$39,"&gt;="&amp;($AK176-1))</f>
        <v>126.6</v>
      </c>
      <c r="AM176" s="14">
        <f>AM175+SUMIFS(Setting!$E$30:$E$39,Setting!$A$30:$A$39,AM$4,Setting!$C$30:$C$39,"&lt;="&amp;($AK176-1),Setting!$D$30:$D$39,"&gt;="&amp;($AK176-1))</f>
        <v>95.8</v>
      </c>
    </row>
    <row r="177" ht="15.75" customHeight="1">
      <c r="AK177" s="14">
        <v>172.0</v>
      </c>
      <c r="AL177" s="14">
        <f>AL176+SUMIFS(Setting!$E$30:$E$39,Setting!$A$30:$A$39,AL$4,Setting!$C$30:$C$39,"&lt;="&amp;($AK177-1),Setting!$D$30:$D$39,"&gt;="&amp;($AK177-1))</f>
        <v>126.8</v>
      </c>
      <c r="AM177" s="14">
        <f>AM176+SUMIFS(Setting!$E$30:$E$39,Setting!$A$30:$A$39,AM$4,Setting!$C$30:$C$39,"&lt;="&amp;($AK177-1),Setting!$D$30:$D$39,"&gt;="&amp;($AK177-1))</f>
        <v>96</v>
      </c>
    </row>
    <row r="178" ht="15.75" customHeight="1">
      <c r="AK178" s="14">
        <v>173.0</v>
      </c>
      <c r="AL178" s="14">
        <f>AL177+SUMIFS(Setting!$E$30:$E$39,Setting!$A$30:$A$39,AL$4,Setting!$C$30:$C$39,"&lt;="&amp;($AK178-1),Setting!$D$30:$D$39,"&gt;="&amp;($AK178-1))</f>
        <v>127</v>
      </c>
      <c r="AM178" s="14">
        <f>AM177+SUMIFS(Setting!$E$30:$E$39,Setting!$A$30:$A$39,AM$4,Setting!$C$30:$C$39,"&lt;="&amp;($AK178-1),Setting!$D$30:$D$39,"&gt;="&amp;($AK178-1))</f>
        <v>96.2</v>
      </c>
    </row>
    <row r="179" ht="15.75" customHeight="1">
      <c r="AK179" s="14">
        <v>174.0</v>
      </c>
      <c r="AL179" s="14">
        <f>AL178+SUMIFS(Setting!$E$30:$E$39,Setting!$A$30:$A$39,AL$4,Setting!$C$30:$C$39,"&lt;="&amp;($AK179-1),Setting!$D$30:$D$39,"&gt;="&amp;($AK179-1))</f>
        <v>127.2</v>
      </c>
      <c r="AM179" s="14">
        <f>AM178+SUMIFS(Setting!$E$30:$E$39,Setting!$A$30:$A$39,AM$4,Setting!$C$30:$C$39,"&lt;="&amp;($AK179-1),Setting!$D$30:$D$39,"&gt;="&amp;($AK179-1))</f>
        <v>96.4</v>
      </c>
    </row>
    <row r="180" ht="15.75" customHeight="1">
      <c r="AK180" s="14">
        <v>175.0</v>
      </c>
      <c r="AL180" s="14">
        <f>AL179+SUMIFS(Setting!$E$30:$E$39,Setting!$A$30:$A$39,AL$4,Setting!$C$30:$C$39,"&lt;="&amp;($AK180-1),Setting!$D$30:$D$39,"&gt;="&amp;($AK180-1))</f>
        <v>127.4</v>
      </c>
      <c r="AM180" s="14">
        <f>AM179+SUMIFS(Setting!$E$30:$E$39,Setting!$A$30:$A$39,AM$4,Setting!$C$30:$C$39,"&lt;="&amp;($AK180-1),Setting!$D$30:$D$39,"&gt;="&amp;($AK180-1))</f>
        <v>96.6</v>
      </c>
    </row>
    <row r="181" ht="15.75" customHeight="1">
      <c r="AK181" s="14">
        <v>176.0</v>
      </c>
      <c r="AL181" s="14">
        <f>AL180+SUMIFS(Setting!$E$30:$E$39,Setting!$A$30:$A$39,AL$4,Setting!$C$30:$C$39,"&lt;="&amp;($AK181-1),Setting!$D$30:$D$39,"&gt;="&amp;($AK181-1))</f>
        <v>127.6</v>
      </c>
      <c r="AM181" s="14">
        <f>AM180+SUMIFS(Setting!$E$30:$E$39,Setting!$A$30:$A$39,AM$4,Setting!$C$30:$C$39,"&lt;="&amp;($AK181-1),Setting!$D$30:$D$39,"&gt;="&amp;($AK181-1))</f>
        <v>96.8</v>
      </c>
    </row>
    <row r="182" ht="15.75" customHeight="1">
      <c r="AK182" s="14">
        <v>177.0</v>
      </c>
      <c r="AL182" s="14">
        <f>AL181+SUMIFS(Setting!$E$30:$E$39,Setting!$A$30:$A$39,AL$4,Setting!$C$30:$C$39,"&lt;="&amp;($AK182-1),Setting!$D$30:$D$39,"&gt;="&amp;($AK182-1))</f>
        <v>127.8</v>
      </c>
      <c r="AM182" s="14">
        <f>AM181+SUMIFS(Setting!$E$30:$E$39,Setting!$A$30:$A$39,AM$4,Setting!$C$30:$C$39,"&lt;="&amp;($AK182-1),Setting!$D$30:$D$39,"&gt;="&amp;($AK182-1))</f>
        <v>97</v>
      </c>
    </row>
    <row r="183" ht="15.75" customHeight="1">
      <c r="AK183" s="14">
        <v>178.0</v>
      </c>
      <c r="AL183" s="14">
        <f>AL182+SUMIFS(Setting!$E$30:$E$39,Setting!$A$30:$A$39,AL$4,Setting!$C$30:$C$39,"&lt;="&amp;($AK183-1),Setting!$D$30:$D$39,"&gt;="&amp;($AK183-1))</f>
        <v>128</v>
      </c>
      <c r="AM183" s="14">
        <f>AM182+SUMIFS(Setting!$E$30:$E$39,Setting!$A$30:$A$39,AM$4,Setting!$C$30:$C$39,"&lt;="&amp;($AK183-1),Setting!$D$30:$D$39,"&gt;="&amp;($AK183-1))</f>
        <v>97.2</v>
      </c>
    </row>
    <row r="184" ht="15.75" customHeight="1">
      <c r="AK184" s="14">
        <v>179.0</v>
      </c>
      <c r="AL184" s="14">
        <f>AL183+SUMIFS(Setting!$E$30:$E$39,Setting!$A$30:$A$39,AL$4,Setting!$C$30:$C$39,"&lt;="&amp;($AK184-1),Setting!$D$30:$D$39,"&gt;="&amp;($AK184-1))</f>
        <v>128.2</v>
      </c>
      <c r="AM184" s="14">
        <f>AM183+SUMIFS(Setting!$E$30:$E$39,Setting!$A$30:$A$39,AM$4,Setting!$C$30:$C$39,"&lt;="&amp;($AK184-1),Setting!$D$30:$D$39,"&gt;="&amp;($AK184-1))</f>
        <v>97.4</v>
      </c>
    </row>
    <row r="185" ht="15.75" customHeight="1">
      <c r="AK185" s="14">
        <v>180.0</v>
      </c>
      <c r="AL185" s="14">
        <f>AL184+SUMIFS(Setting!$E$30:$E$39,Setting!$A$30:$A$39,AL$4,Setting!$C$30:$C$39,"&lt;="&amp;($AK185-1),Setting!$D$30:$D$39,"&gt;="&amp;($AK185-1))</f>
        <v>128.4</v>
      </c>
      <c r="AM185" s="14">
        <f>AM184+SUMIFS(Setting!$E$30:$E$39,Setting!$A$30:$A$39,AM$4,Setting!$C$30:$C$39,"&lt;="&amp;($AK185-1),Setting!$D$30:$D$39,"&gt;="&amp;($AK185-1))</f>
        <v>97.6</v>
      </c>
    </row>
    <row r="186" ht="15.75" customHeight="1">
      <c r="AK186" s="14">
        <v>181.0</v>
      </c>
      <c r="AL186" s="14">
        <f>AL185+SUMIFS(Setting!$E$30:$E$39,Setting!$A$30:$A$39,AL$4,Setting!$C$30:$C$39,"&lt;="&amp;($AK186-1),Setting!$D$30:$D$39,"&gt;="&amp;($AK186-1))</f>
        <v>128.6</v>
      </c>
      <c r="AM186" s="14">
        <f>AM185+SUMIFS(Setting!$E$30:$E$39,Setting!$A$30:$A$39,AM$4,Setting!$C$30:$C$39,"&lt;="&amp;($AK186-1),Setting!$D$30:$D$39,"&gt;="&amp;($AK186-1))</f>
        <v>97.8</v>
      </c>
    </row>
    <row r="187" ht="15.75" customHeight="1">
      <c r="AK187" s="14">
        <v>182.0</v>
      </c>
      <c r="AL187" s="14">
        <f>AL186+SUMIFS(Setting!$E$30:$E$39,Setting!$A$30:$A$39,AL$4,Setting!$C$30:$C$39,"&lt;="&amp;($AK187-1),Setting!$D$30:$D$39,"&gt;="&amp;($AK187-1))</f>
        <v>128.8</v>
      </c>
      <c r="AM187" s="14">
        <f>AM186+SUMIFS(Setting!$E$30:$E$39,Setting!$A$30:$A$39,AM$4,Setting!$C$30:$C$39,"&lt;="&amp;($AK187-1),Setting!$D$30:$D$39,"&gt;="&amp;($AK187-1))</f>
        <v>98</v>
      </c>
    </row>
    <row r="188" ht="15.75" customHeight="1">
      <c r="AK188" s="14">
        <v>183.0</v>
      </c>
      <c r="AL188" s="14">
        <f>AL187+SUMIFS(Setting!$E$30:$E$39,Setting!$A$30:$A$39,AL$4,Setting!$C$30:$C$39,"&lt;="&amp;($AK188-1),Setting!$D$30:$D$39,"&gt;="&amp;($AK188-1))</f>
        <v>129</v>
      </c>
      <c r="AM188" s="14">
        <f>AM187+SUMIFS(Setting!$E$30:$E$39,Setting!$A$30:$A$39,AM$4,Setting!$C$30:$C$39,"&lt;="&amp;($AK188-1),Setting!$D$30:$D$39,"&gt;="&amp;($AK188-1))</f>
        <v>98.2</v>
      </c>
    </row>
    <row r="189" ht="15.75" customHeight="1">
      <c r="AK189" s="14">
        <v>184.0</v>
      </c>
      <c r="AL189" s="14">
        <f>AL188+SUMIFS(Setting!$E$30:$E$39,Setting!$A$30:$A$39,AL$4,Setting!$C$30:$C$39,"&lt;="&amp;($AK189-1),Setting!$D$30:$D$39,"&gt;="&amp;($AK189-1))</f>
        <v>129.2</v>
      </c>
      <c r="AM189" s="14">
        <f>AM188+SUMIFS(Setting!$E$30:$E$39,Setting!$A$30:$A$39,AM$4,Setting!$C$30:$C$39,"&lt;="&amp;($AK189-1),Setting!$D$30:$D$39,"&gt;="&amp;($AK189-1))</f>
        <v>98.4</v>
      </c>
    </row>
    <row r="190" ht="15.75" customHeight="1">
      <c r="AK190" s="14">
        <v>185.0</v>
      </c>
      <c r="AL190" s="14">
        <f>AL189+SUMIFS(Setting!$E$30:$E$39,Setting!$A$30:$A$39,AL$4,Setting!$C$30:$C$39,"&lt;="&amp;($AK190-1),Setting!$D$30:$D$39,"&gt;="&amp;($AK190-1))</f>
        <v>129.4</v>
      </c>
      <c r="AM190" s="14">
        <f>AM189+SUMIFS(Setting!$E$30:$E$39,Setting!$A$30:$A$39,AM$4,Setting!$C$30:$C$39,"&lt;="&amp;($AK190-1),Setting!$D$30:$D$39,"&gt;="&amp;($AK190-1))</f>
        <v>98.6</v>
      </c>
    </row>
    <row r="191" ht="15.75" customHeight="1">
      <c r="AK191" s="14">
        <v>186.0</v>
      </c>
      <c r="AL191" s="14">
        <f>AL190+SUMIFS(Setting!$E$30:$E$39,Setting!$A$30:$A$39,AL$4,Setting!$C$30:$C$39,"&lt;="&amp;($AK191-1),Setting!$D$30:$D$39,"&gt;="&amp;($AK191-1))</f>
        <v>129.6</v>
      </c>
      <c r="AM191" s="14">
        <f>AM190+SUMIFS(Setting!$E$30:$E$39,Setting!$A$30:$A$39,AM$4,Setting!$C$30:$C$39,"&lt;="&amp;($AK191-1),Setting!$D$30:$D$39,"&gt;="&amp;($AK191-1))</f>
        <v>98.8</v>
      </c>
    </row>
    <row r="192" ht="15.75" customHeight="1">
      <c r="AK192" s="14">
        <v>187.0</v>
      </c>
      <c r="AL192" s="14">
        <f>AL191+SUMIFS(Setting!$E$30:$E$39,Setting!$A$30:$A$39,AL$4,Setting!$C$30:$C$39,"&lt;="&amp;($AK192-1),Setting!$D$30:$D$39,"&gt;="&amp;($AK192-1))</f>
        <v>129.8</v>
      </c>
      <c r="AM192" s="14">
        <f>AM191+SUMIFS(Setting!$E$30:$E$39,Setting!$A$30:$A$39,AM$4,Setting!$C$30:$C$39,"&lt;="&amp;($AK192-1),Setting!$D$30:$D$39,"&gt;="&amp;($AK192-1))</f>
        <v>99</v>
      </c>
    </row>
    <row r="193" ht="15.75" customHeight="1">
      <c r="AK193" s="14">
        <v>188.0</v>
      </c>
      <c r="AL193" s="14">
        <f>AL192+SUMIFS(Setting!$E$30:$E$39,Setting!$A$30:$A$39,AL$4,Setting!$C$30:$C$39,"&lt;="&amp;($AK193-1),Setting!$D$30:$D$39,"&gt;="&amp;($AK193-1))</f>
        <v>130</v>
      </c>
      <c r="AM193" s="14">
        <f>AM192+SUMIFS(Setting!$E$30:$E$39,Setting!$A$30:$A$39,AM$4,Setting!$C$30:$C$39,"&lt;="&amp;($AK193-1),Setting!$D$30:$D$39,"&gt;="&amp;($AK193-1))</f>
        <v>99.2</v>
      </c>
    </row>
    <row r="194" ht="15.75" customHeight="1">
      <c r="AK194" s="14">
        <v>189.0</v>
      </c>
      <c r="AL194" s="14">
        <f>AL193+SUMIFS(Setting!$E$30:$E$39,Setting!$A$30:$A$39,AL$4,Setting!$C$30:$C$39,"&lt;="&amp;($AK194-1),Setting!$D$30:$D$39,"&gt;="&amp;($AK194-1))</f>
        <v>130.2</v>
      </c>
      <c r="AM194" s="14">
        <f>AM193+SUMIFS(Setting!$E$30:$E$39,Setting!$A$30:$A$39,AM$4,Setting!$C$30:$C$39,"&lt;="&amp;($AK194-1),Setting!$D$30:$D$39,"&gt;="&amp;($AK194-1))</f>
        <v>99.4</v>
      </c>
    </row>
    <row r="195" ht="15.75" customHeight="1">
      <c r="AK195" s="14">
        <v>190.0</v>
      </c>
      <c r="AL195" s="14">
        <f>AL194+SUMIFS(Setting!$E$30:$E$39,Setting!$A$30:$A$39,AL$4,Setting!$C$30:$C$39,"&lt;="&amp;($AK195-1),Setting!$D$30:$D$39,"&gt;="&amp;($AK195-1))</f>
        <v>130.4</v>
      </c>
      <c r="AM195" s="14">
        <f>AM194+SUMIFS(Setting!$E$30:$E$39,Setting!$A$30:$A$39,AM$4,Setting!$C$30:$C$39,"&lt;="&amp;($AK195-1),Setting!$D$30:$D$39,"&gt;="&amp;($AK195-1))</f>
        <v>99.6</v>
      </c>
    </row>
    <row r="196" ht="15.75" customHeight="1">
      <c r="AK196" s="14">
        <v>191.0</v>
      </c>
      <c r="AL196" s="14">
        <f>AL195+SUMIFS(Setting!$E$30:$E$39,Setting!$A$30:$A$39,AL$4,Setting!$C$30:$C$39,"&lt;="&amp;($AK196-1),Setting!$D$30:$D$39,"&gt;="&amp;($AK196-1))</f>
        <v>130.6</v>
      </c>
      <c r="AM196" s="14">
        <f>AM195+SUMIFS(Setting!$E$30:$E$39,Setting!$A$30:$A$39,AM$4,Setting!$C$30:$C$39,"&lt;="&amp;($AK196-1),Setting!$D$30:$D$39,"&gt;="&amp;($AK196-1))</f>
        <v>99.8</v>
      </c>
    </row>
    <row r="197" ht="15.75" customHeight="1">
      <c r="AK197" s="14">
        <v>192.0</v>
      </c>
      <c r="AL197" s="14">
        <f>AL196+SUMIFS(Setting!$E$30:$E$39,Setting!$A$30:$A$39,AL$4,Setting!$C$30:$C$39,"&lt;="&amp;($AK197-1),Setting!$D$30:$D$39,"&gt;="&amp;($AK197-1))</f>
        <v>130.8</v>
      </c>
      <c r="AM197" s="14">
        <f>AM196+SUMIFS(Setting!$E$30:$E$39,Setting!$A$30:$A$39,AM$4,Setting!$C$30:$C$39,"&lt;="&amp;($AK197-1),Setting!$D$30:$D$39,"&gt;="&amp;($AK197-1))</f>
        <v>100</v>
      </c>
    </row>
    <row r="198" ht="15.75" customHeight="1">
      <c r="AK198" s="14">
        <v>193.0</v>
      </c>
      <c r="AL198" s="14">
        <f>AL197+SUMIFS(Setting!$E$30:$E$39,Setting!$A$30:$A$39,AL$4,Setting!$C$30:$C$39,"&lt;="&amp;($AK198-1),Setting!$D$30:$D$39,"&gt;="&amp;($AK198-1))</f>
        <v>131</v>
      </c>
      <c r="AM198" s="14">
        <f>AM197+SUMIFS(Setting!$E$30:$E$39,Setting!$A$30:$A$39,AM$4,Setting!$C$30:$C$39,"&lt;="&amp;($AK198-1),Setting!$D$30:$D$39,"&gt;="&amp;($AK198-1))</f>
        <v>100.2</v>
      </c>
    </row>
    <row r="199" ht="15.75" customHeight="1">
      <c r="AK199" s="14">
        <v>194.0</v>
      </c>
      <c r="AL199" s="14">
        <f>AL198+SUMIFS(Setting!$E$30:$E$39,Setting!$A$30:$A$39,AL$4,Setting!$C$30:$C$39,"&lt;="&amp;($AK199-1),Setting!$D$30:$D$39,"&gt;="&amp;($AK199-1))</f>
        <v>131.2</v>
      </c>
      <c r="AM199" s="14">
        <f>AM198+SUMIFS(Setting!$E$30:$E$39,Setting!$A$30:$A$39,AM$4,Setting!$C$30:$C$39,"&lt;="&amp;($AK199-1),Setting!$D$30:$D$39,"&gt;="&amp;($AK199-1))</f>
        <v>100.4</v>
      </c>
    </row>
    <row r="200" ht="15.75" customHeight="1">
      <c r="AK200" s="14">
        <v>195.0</v>
      </c>
      <c r="AL200" s="14">
        <f>AL199+SUMIFS(Setting!$E$30:$E$39,Setting!$A$30:$A$39,AL$4,Setting!$C$30:$C$39,"&lt;="&amp;($AK200-1),Setting!$D$30:$D$39,"&gt;="&amp;($AK200-1))</f>
        <v>131.4</v>
      </c>
      <c r="AM200" s="14">
        <f>AM199+SUMIFS(Setting!$E$30:$E$39,Setting!$A$30:$A$39,AM$4,Setting!$C$30:$C$39,"&lt;="&amp;($AK200-1),Setting!$D$30:$D$39,"&gt;="&amp;($AK200-1))</f>
        <v>100.6</v>
      </c>
    </row>
    <row r="201" ht="15.75" customHeight="1">
      <c r="AK201" s="14">
        <v>196.0</v>
      </c>
      <c r="AL201" s="14">
        <f>AL200+SUMIFS(Setting!$E$30:$E$39,Setting!$A$30:$A$39,AL$4,Setting!$C$30:$C$39,"&lt;="&amp;($AK201-1),Setting!$D$30:$D$39,"&gt;="&amp;($AK201-1))</f>
        <v>131.6</v>
      </c>
      <c r="AM201" s="14">
        <f>AM200+SUMIFS(Setting!$E$30:$E$39,Setting!$A$30:$A$39,AM$4,Setting!$C$30:$C$39,"&lt;="&amp;($AK201-1),Setting!$D$30:$D$39,"&gt;="&amp;($AK201-1))</f>
        <v>100.8</v>
      </c>
    </row>
    <row r="202" ht="15.75" customHeight="1">
      <c r="AK202" s="14">
        <v>197.0</v>
      </c>
      <c r="AL202" s="14">
        <f>AL201+SUMIFS(Setting!$E$30:$E$39,Setting!$A$30:$A$39,AL$4,Setting!$C$30:$C$39,"&lt;="&amp;($AK202-1),Setting!$D$30:$D$39,"&gt;="&amp;($AK202-1))</f>
        <v>131.8</v>
      </c>
      <c r="AM202" s="14">
        <f>AM201+SUMIFS(Setting!$E$30:$E$39,Setting!$A$30:$A$39,AM$4,Setting!$C$30:$C$39,"&lt;="&amp;($AK202-1),Setting!$D$30:$D$39,"&gt;="&amp;($AK202-1))</f>
        <v>101</v>
      </c>
    </row>
    <row r="203" ht="15.75" customHeight="1">
      <c r="AK203" s="14">
        <v>198.0</v>
      </c>
      <c r="AL203" s="14">
        <f>AL202+SUMIFS(Setting!$E$30:$E$39,Setting!$A$30:$A$39,AL$4,Setting!$C$30:$C$39,"&lt;="&amp;($AK203-1),Setting!$D$30:$D$39,"&gt;="&amp;($AK203-1))</f>
        <v>132</v>
      </c>
      <c r="AM203" s="14">
        <f>AM202+SUMIFS(Setting!$E$30:$E$39,Setting!$A$30:$A$39,AM$4,Setting!$C$30:$C$39,"&lt;="&amp;($AK203-1),Setting!$D$30:$D$39,"&gt;="&amp;($AK203-1))</f>
        <v>101.2</v>
      </c>
    </row>
    <row r="204" ht="15.75" customHeight="1">
      <c r="AK204" s="14">
        <v>199.0</v>
      </c>
      <c r="AL204" s="14">
        <f>AL203+SUMIFS(Setting!$E$30:$E$39,Setting!$A$30:$A$39,AL$4,Setting!$C$30:$C$39,"&lt;="&amp;($AK204-1),Setting!$D$30:$D$39,"&gt;="&amp;($AK204-1))</f>
        <v>132.2</v>
      </c>
      <c r="AM204" s="14">
        <f>AM203+SUMIFS(Setting!$E$30:$E$39,Setting!$A$30:$A$39,AM$4,Setting!$C$30:$C$39,"&lt;="&amp;($AK204-1),Setting!$D$30:$D$39,"&gt;="&amp;($AK204-1))</f>
        <v>101.4</v>
      </c>
    </row>
    <row r="205" ht="15.75" customHeight="1">
      <c r="AK205" s="14">
        <v>200.0</v>
      </c>
      <c r="AL205" s="14">
        <f>AL204+SUMIFS(Setting!$E$30:$E$39,Setting!$A$30:$A$39,AL$4,Setting!$C$30:$C$39,"&lt;="&amp;($AK205-1),Setting!$D$30:$D$39,"&gt;="&amp;($AK205-1))</f>
        <v>132.4</v>
      </c>
      <c r="AM205" s="14">
        <f>AM204+SUMIFS(Setting!$E$30:$E$39,Setting!$A$30:$A$39,AM$4,Setting!$C$30:$C$39,"&lt;="&amp;($AK205-1),Setting!$D$30:$D$39,"&gt;="&amp;($AK205-1))</f>
        <v>101.6</v>
      </c>
    </row>
    <row r="206" ht="15.75" customHeight="1">
      <c r="AK206" s="14">
        <v>201.0</v>
      </c>
      <c r="AL206" s="14">
        <f>AL205+SUMIFS(Setting!$E$30:$E$39,Setting!$A$30:$A$39,AL$4,Setting!$C$30:$C$39,"&lt;="&amp;($AK206-1),Setting!$D$30:$D$39,"&gt;="&amp;($AK206-1))</f>
        <v>132.6</v>
      </c>
      <c r="AM206" s="14">
        <f>AM205+SUMIFS(Setting!$E$30:$E$39,Setting!$A$30:$A$39,AM$4,Setting!$C$30:$C$39,"&lt;="&amp;($AK206-1),Setting!$D$30:$D$39,"&gt;="&amp;($AK206-1))</f>
        <v>101.8</v>
      </c>
    </row>
    <row r="207" ht="15.75" customHeight="1">
      <c r="AK207" s="14">
        <v>202.0</v>
      </c>
      <c r="AL207" s="14">
        <f>AL206+SUMIFS(Setting!$E$30:$E$39,Setting!$A$30:$A$39,AL$4,Setting!$C$30:$C$39,"&lt;="&amp;($AK207-1),Setting!$D$30:$D$39,"&gt;="&amp;($AK207-1))</f>
        <v>132.8</v>
      </c>
      <c r="AM207" s="14">
        <f>AM206+SUMIFS(Setting!$E$30:$E$39,Setting!$A$30:$A$39,AM$4,Setting!$C$30:$C$39,"&lt;="&amp;($AK207-1),Setting!$D$30:$D$39,"&gt;="&amp;($AK207-1))</f>
        <v>102</v>
      </c>
    </row>
    <row r="208" ht="15.75" customHeight="1">
      <c r="AK208" s="14">
        <v>203.0</v>
      </c>
      <c r="AL208" s="14">
        <f>AL207+SUMIFS(Setting!$E$30:$E$39,Setting!$A$30:$A$39,AL$4,Setting!$C$30:$C$39,"&lt;="&amp;($AK208-1),Setting!$D$30:$D$39,"&gt;="&amp;($AK208-1))</f>
        <v>133</v>
      </c>
      <c r="AM208" s="14">
        <f>AM207+SUMIFS(Setting!$E$30:$E$39,Setting!$A$30:$A$39,AM$4,Setting!$C$30:$C$39,"&lt;="&amp;($AK208-1),Setting!$D$30:$D$39,"&gt;="&amp;($AK208-1))</f>
        <v>102.2</v>
      </c>
    </row>
    <row r="209" ht="15.75" customHeight="1">
      <c r="AK209" s="14">
        <v>204.0</v>
      </c>
      <c r="AL209" s="14">
        <f>AL208+SUMIFS(Setting!$E$30:$E$39,Setting!$A$30:$A$39,AL$4,Setting!$C$30:$C$39,"&lt;="&amp;($AK209-1),Setting!$D$30:$D$39,"&gt;="&amp;($AK209-1))</f>
        <v>133.2</v>
      </c>
      <c r="AM209" s="14">
        <f>AM208+SUMIFS(Setting!$E$30:$E$39,Setting!$A$30:$A$39,AM$4,Setting!$C$30:$C$39,"&lt;="&amp;($AK209-1),Setting!$D$30:$D$39,"&gt;="&amp;($AK209-1))</f>
        <v>102.4</v>
      </c>
    </row>
    <row r="210" ht="15.75" customHeight="1">
      <c r="AK210" s="14">
        <v>205.0</v>
      </c>
      <c r="AL210" s="14">
        <f>AL209+SUMIFS(Setting!$E$30:$E$39,Setting!$A$30:$A$39,AL$4,Setting!$C$30:$C$39,"&lt;="&amp;($AK210-1),Setting!$D$30:$D$39,"&gt;="&amp;($AK210-1))</f>
        <v>133.4</v>
      </c>
      <c r="AM210" s="14">
        <f>AM209+SUMIFS(Setting!$E$30:$E$39,Setting!$A$30:$A$39,AM$4,Setting!$C$30:$C$39,"&lt;="&amp;($AK210-1),Setting!$D$30:$D$39,"&gt;="&amp;($AK210-1))</f>
        <v>102.6</v>
      </c>
    </row>
    <row r="211" ht="15.75" customHeight="1">
      <c r="AK211" s="14">
        <v>206.0</v>
      </c>
      <c r="AL211" s="14">
        <f>AL210+SUMIFS(Setting!$E$30:$E$39,Setting!$A$30:$A$39,AL$4,Setting!$C$30:$C$39,"&lt;="&amp;($AK211-1),Setting!$D$30:$D$39,"&gt;="&amp;($AK211-1))</f>
        <v>133.6</v>
      </c>
      <c r="AM211" s="14">
        <f>AM210+SUMIFS(Setting!$E$30:$E$39,Setting!$A$30:$A$39,AM$4,Setting!$C$30:$C$39,"&lt;="&amp;($AK211-1),Setting!$D$30:$D$39,"&gt;="&amp;($AK211-1))</f>
        <v>102.8</v>
      </c>
    </row>
    <row r="212" ht="15.75" customHeight="1">
      <c r="AK212" s="14">
        <v>207.0</v>
      </c>
      <c r="AL212" s="14">
        <f>AL211+SUMIFS(Setting!$E$30:$E$39,Setting!$A$30:$A$39,AL$4,Setting!$C$30:$C$39,"&lt;="&amp;($AK212-1),Setting!$D$30:$D$39,"&gt;="&amp;($AK212-1))</f>
        <v>133.8</v>
      </c>
      <c r="AM212" s="14">
        <f>AM211+SUMIFS(Setting!$E$30:$E$39,Setting!$A$30:$A$39,AM$4,Setting!$C$30:$C$39,"&lt;="&amp;($AK212-1),Setting!$D$30:$D$39,"&gt;="&amp;($AK212-1))</f>
        <v>103</v>
      </c>
    </row>
    <row r="213" ht="15.75" customHeight="1">
      <c r="AK213" s="14">
        <v>208.0</v>
      </c>
      <c r="AL213" s="14">
        <f>AL212+SUMIFS(Setting!$E$30:$E$39,Setting!$A$30:$A$39,AL$4,Setting!$C$30:$C$39,"&lt;="&amp;($AK213-1),Setting!$D$30:$D$39,"&gt;="&amp;($AK213-1))</f>
        <v>134</v>
      </c>
      <c r="AM213" s="14">
        <f>AM212+SUMIFS(Setting!$E$30:$E$39,Setting!$A$30:$A$39,AM$4,Setting!$C$30:$C$39,"&lt;="&amp;($AK213-1),Setting!$D$30:$D$39,"&gt;="&amp;($AK213-1))</f>
        <v>103.2</v>
      </c>
    </row>
    <row r="214" ht="15.75" customHeight="1">
      <c r="AK214" s="14">
        <v>209.0</v>
      </c>
      <c r="AL214" s="14">
        <f>AL213+SUMIFS(Setting!$E$30:$E$39,Setting!$A$30:$A$39,AL$4,Setting!$C$30:$C$39,"&lt;="&amp;($AK214-1),Setting!$D$30:$D$39,"&gt;="&amp;($AK214-1))</f>
        <v>134.2</v>
      </c>
      <c r="AM214" s="14">
        <f>AM213+SUMIFS(Setting!$E$30:$E$39,Setting!$A$30:$A$39,AM$4,Setting!$C$30:$C$39,"&lt;="&amp;($AK214-1),Setting!$D$30:$D$39,"&gt;="&amp;($AK214-1))</f>
        <v>103.4</v>
      </c>
    </row>
    <row r="215" ht="15.75" customHeight="1">
      <c r="AK215" s="14">
        <v>210.0</v>
      </c>
      <c r="AL215" s="14">
        <f>AL214+SUMIFS(Setting!$E$30:$E$39,Setting!$A$30:$A$39,AL$4,Setting!$C$30:$C$39,"&lt;="&amp;($AK215-1),Setting!$D$30:$D$39,"&gt;="&amp;($AK215-1))</f>
        <v>134.4</v>
      </c>
      <c r="AM215" s="14">
        <f>AM214+SUMIFS(Setting!$E$30:$E$39,Setting!$A$30:$A$39,AM$4,Setting!$C$30:$C$39,"&lt;="&amp;($AK215-1),Setting!$D$30:$D$39,"&gt;="&amp;($AK215-1))</f>
        <v>103.6</v>
      </c>
    </row>
    <row r="216" ht="15.75" customHeight="1">
      <c r="AK216" s="14">
        <v>211.0</v>
      </c>
      <c r="AL216" s="14">
        <f>AL215+SUMIFS(Setting!$E$30:$E$39,Setting!$A$30:$A$39,AL$4,Setting!$C$30:$C$39,"&lt;="&amp;($AK216-1),Setting!$D$30:$D$39,"&gt;="&amp;($AK216-1))</f>
        <v>134.6</v>
      </c>
      <c r="AM216" s="14">
        <f>AM215+SUMIFS(Setting!$E$30:$E$39,Setting!$A$30:$A$39,AM$4,Setting!$C$30:$C$39,"&lt;="&amp;($AK216-1),Setting!$D$30:$D$39,"&gt;="&amp;($AK216-1))</f>
        <v>103.8</v>
      </c>
    </row>
    <row r="217" ht="15.75" customHeight="1">
      <c r="AK217" s="14">
        <v>212.0</v>
      </c>
      <c r="AL217" s="14">
        <f>AL216+SUMIFS(Setting!$E$30:$E$39,Setting!$A$30:$A$39,AL$4,Setting!$C$30:$C$39,"&lt;="&amp;($AK217-1),Setting!$D$30:$D$39,"&gt;="&amp;($AK217-1))</f>
        <v>134.8</v>
      </c>
      <c r="AM217" s="14">
        <f>AM216+SUMIFS(Setting!$E$30:$E$39,Setting!$A$30:$A$39,AM$4,Setting!$C$30:$C$39,"&lt;="&amp;($AK217-1),Setting!$D$30:$D$39,"&gt;="&amp;($AK217-1))</f>
        <v>104</v>
      </c>
    </row>
    <row r="218" ht="15.75" customHeight="1">
      <c r="AK218" s="14">
        <v>213.0</v>
      </c>
      <c r="AL218" s="14">
        <f>AL217+SUMIFS(Setting!$E$30:$E$39,Setting!$A$30:$A$39,AL$4,Setting!$C$30:$C$39,"&lt;="&amp;($AK218-1),Setting!$D$30:$D$39,"&gt;="&amp;($AK218-1))</f>
        <v>135</v>
      </c>
      <c r="AM218" s="14">
        <f>AM217+SUMIFS(Setting!$E$30:$E$39,Setting!$A$30:$A$39,AM$4,Setting!$C$30:$C$39,"&lt;="&amp;($AK218-1),Setting!$D$30:$D$39,"&gt;="&amp;($AK218-1))</f>
        <v>104.2</v>
      </c>
    </row>
    <row r="219" ht="15.75" customHeight="1">
      <c r="AK219" s="14">
        <v>214.0</v>
      </c>
      <c r="AL219" s="14">
        <f>AL218+SUMIFS(Setting!$E$30:$E$39,Setting!$A$30:$A$39,AL$4,Setting!$C$30:$C$39,"&lt;="&amp;($AK219-1),Setting!$D$30:$D$39,"&gt;="&amp;($AK219-1))</f>
        <v>135.2</v>
      </c>
      <c r="AM219" s="14">
        <f>AM218+SUMIFS(Setting!$E$30:$E$39,Setting!$A$30:$A$39,AM$4,Setting!$C$30:$C$39,"&lt;="&amp;($AK219-1),Setting!$D$30:$D$39,"&gt;="&amp;($AK219-1))</f>
        <v>104.4</v>
      </c>
    </row>
    <row r="220" ht="15.75" customHeight="1">
      <c r="AK220" s="14">
        <v>215.0</v>
      </c>
      <c r="AL220" s="14">
        <f>AL219+SUMIFS(Setting!$E$30:$E$39,Setting!$A$30:$A$39,AL$4,Setting!$C$30:$C$39,"&lt;="&amp;($AK220-1),Setting!$D$30:$D$39,"&gt;="&amp;($AK220-1))</f>
        <v>135.4</v>
      </c>
      <c r="AM220" s="14">
        <f>AM219+SUMIFS(Setting!$E$30:$E$39,Setting!$A$30:$A$39,AM$4,Setting!$C$30:$C$39,"&lt;="&amp;($AK220-1),Setting!$D$30:$D$39,"&gt;="&amp;($AK220-1))</f>
        <v>104.6</v>
      </c>
    </row>
    <row r="221" ht="15.75" customHeight="1">
      <c r="AK221" s="14">
        <v>216.0</v>
      </c>
      <c r="AL221" s="14">
        <f>AL220+SUMIFS(Setting!$E$30:$E$39,Setting!$A$30:$A$39,AL$4,Setting!$C$30:$C$39,"&lt;="&amp;($AK221-1),Setting!$D$30:$D$39,"&gt;="&amp;($AK221-1))</f>
        <v>135.6</v>
      </c>
      <c r="AM221" s="14">
        <f>AM220+SUMIFS(Setting!$E$30:$E$39,Setting!$A$30:$A$39,AM$4,Setting!$C$30:$C$39,"&lt;="&amp;($AK221-1),Setting!$D$30:$D$39,"&gt;="&amp;($AK221-1))</f>
        <v>104.8</v>
      </c>
    </row>
    <row r="222" ht="15.75" customHeight="1">
      <c r="AK222" s="14">
        <v>217.0</v>
      </c>
      <c r="AL222" s="14">
        <f>AL221+SUMIFS(Setting!$E$30:$E$39,Setting!$A$30:$A$39,AL$4,Setting!$C$30:$C$39,"&lt;="&amp;($AK222-1),Setting!$D$30:$D$39,"&gt;="&amp;($AK222-1))</f>
        <v>135.8</v>
      </c>
      <c r="AM222" s="14">
        <f>AM221+SUMIFS(Setting!$E$30:$E$39,Setting!$A$30:$A$39,AM$4,Setting!$C$30:$C$39,"&lt;="&amp;($AK222-1),Setting!$D$30:$D$39,"&gt;="&amp;($AK222-1))</f>
        <v>105</v>
      </c>
    </row>
    <row r="223" ht="15.75" customHeight="1">
      <c r="AK223" s="14">
        <v>218.0</v>
      </c>
      <c r="AL223" s="14">
        <f>AL222+SUMIFS(Setting!$E$30:$E$39,Setting!$A$30:$A$39,AL$4,Setting!$C$30:$C$39,"&lt;="&amp;($AK223-1),Setting!$D$30:$D$39,"&gt;="&amp;($AK223-1))</f>
        <v>136</v>
      </c>
      <c r="AM223" s="14">
        <f>AM222+SUMIFS(Setting!$E$30:$E$39,Setting!$A$30:$A$39,AM$4,Setting!$C$30:$C$39,"&lt;="&amp;($AK223-1),Setting!$D$30:$D$39,"&gt;="&amp;($AK223-1))</f>
        <v>105.2</v>
      </c>
    </row>
    <row r="224" ht="15.75" customHeight="1">
      <c r="AK224" s="14">
        <v>219.0</v>
      </c>
      <c r="AL224" s="14">
        <f>AL223+SUMIFS(Setting!$E$30:$E$39,Setting!$A$30:$A$39,AL$4,Setting!$C$30:$C$39,"&lt;="&amp;($AK224-1),Setting!$D$30:$D$39,"&gt;="&amp;($AK224-1))</f>
        <v>136.2</v>
      </c>
      <c r="AM224" s="14">
        <f>AM223+SUMIFS(Setting!$E$30:$E$39,Setting!$A$30:$A$39,AM$4,Setting!$C$30:$C$39,"&lt;="&amp;($AK224-1),Setting!$D$30:$D$39,"&gt;="&amp;($AK224-1))</f>
        <v>105.4</v>
      </c>
    </row>
    <row r="225" ht="15.75" customHeight="1">
      <c r="AK225" s="14">
        <v>220.0</v>
      </c>
      <c r="AL225" s="14">
        <f>AL224+SUMIFS(Setting!$E$30:$E$39,Setting!$A$30:$A$39,AL$4,Setting!$C$30:$C$39,"&lt;="&amp;($AK225-1),Setting!$D$30:$D$39,"&gt;="&amp;($AK225-1))</f>
        <v>136.4</v>
      </c>
      <c r="AM225" s="14">
        <f>AM224+SUMIFS(Setting!$E$30:$E$39,Setting!$A$30:$A$39,AM$4,Setting!$C$30:$C$39,"&lt;="&amp;($AK225-1),Setting!$D$30:$D$39,"&gt;="&amp;($AK225-1))</f>
        <v>105.6</v>
      </c>
    </row>
    <row r="226" ht="15.75" customHeight="1">
      <c r="AK226" s="14">
        <v>221.0</v>
      </c>
      <c r="AL226" s="14">
        <f>AL225+SUMIFS(Setting!$E$30:$E$39,Setting!$A$30:$A$39,AL$4,Setting!$C$30:$C$39,"&lt;="&amp;($AK226-1),Setting!$D$30:$D$39,"&gt;="&amp;($AK226-1))</f>
        <v>136.6</v>
      </c>
      <c r="AM226" s="14">
        <f>AM225+SUMIFS(Setting!$E$30:$E$39,Setting!$A$30:$A$39,AM$4,Setting!$C$30:$C$39,"&lt;="&amp;($AK226-1),Setting!$D$30:$D$39,"&gt;="&amp;($AK226-1))</f>
        <v>105.8</v>
      </c>
    </row>
    <row r="227" ht="15.75" customHeight="1">
      <c r="AK227" s="14">
        <v>222.0</v>
      </c>
      <c r="AL227" s="14">
        <f>AL226+SUMIFS(Setting!$E$30:$E$39,Setting!$A$30:$A$39,AL$4,Setting!$C$30:$C$39,"&lt;="&amp;($AK227-1),Setting!$D$30:$D$39,"&gt;="&amp;($AK227-1))</f>
        <v>136.8</v>
      </c>
      <c r="AM227" s="14">
        <f>AM226+SUMIFS(Setting!$E$30:$E$39,Setting!$A$30:$A$39,AM$4,Setting!$C$30:$C$39,"&lt;="&amp;($AK227-1),Setting!$D$30:$D$39,"&gt;="&amp;($AK227-1))</f>
        <v>106</v>
      </c>
    </row>
    <row r="228" ht="15.75" customHeight="1">
      <c r="AK228" s="14">
        <v>223.0</v>
      </c>
      <c r="AL228" s="14">
        <f>AL227+SUMIFS(Setting!$E$30:$E$39,Setting!$A$30:$A$39,AL$4,Setting!$C$30:$C$39,"&lt;="&amp;($AK228-1),Setting!$D$30:$D$39,"&gt;="&amp;($AK228-1))</f>
        <v>137</v>
      </c>
      <c r="AM228" s="14">
        <f>AM227+SUMIFS(Setting!$E$30:$E$39,Setting!$A$30:$A$39,AM$4,Setting!$C$30:$C$39,"&lt;="&amp;($AK228-1),Setting!$D$30:$D$39,"&gt;="&amp;($AK228-1))</f>
        <v>106.2</v>
      </c>
    </row>
    <row r="229" ht="15.75" customHeight="1">
      <c r="AK229" s="14">
        <v>224.0</v>
      </c>
      <c r="AL229" s="14">
        <f>AL228+SUMIFS(Setting!$E$30:$E$39,Setting!$A$30:$A$39,AL$4,Setting!$C$30:$C$39,"&lt;="&amp;($AK229-1),Setting!$D$30:$D$39,"&gt;="&amp;($AK229-1))</f>
        <v>137.2</v>
      </c>
      <c r="AM229" s="14">
        <f>AM228+SUMIFS(Setting!$E$30:$E$39,Setting!$A$30:$A$39,AM$4,Setting!$C$30:$C$39,"&lt;="&amp;($AK229-1),Setting!$D$30:$D$39,"&gt;="&amp;($AK229-1))</f>
        <v>106.4</v>
      </c>
    </row>
    <row r="230" ht="15.75" customHeight="1">
      <c r="AK230" s="14">
        <v>225.0</v>
      </c>
      <c r="AL230" s="14">
        <f>AL229+SUMIFS(Setting!$E$30:$E$39,Setting!$A$30:$A$39,AL$4,Setting!$C$30:$C$39,"&lt;="&amp;($AK230-1),Setting!$D$30:$D$39,"&gt;="&amp;($AK230-1))</f>
        <v>137.4</v>
      </c>
      <c r="AM230" s="14">
        <f>AM229+SUMIFS(Setting!$E$30:$E$39,Setting!$A$30:$A$39,AM$4,Setting!$C$30:$C$39,"&lt;="&amp;($AK230-1),Setting!$D$30:$D$39,"&gt;="&amp;($AK230-1))</f>
        <v>106.6</v>
      </c>
    </row>
    <row r="231" ht="15.75" customHeight="1">
      <c r="AK231" s="14">
        <v>226.0</v>
      </c>
      <c r="AL231" s="14">
        <f>AL230+SUMIFS(Setting!$E$30:$E$39,Setting!$A$30:$A$39,AL$4,Setting!$C$30:$C$39,"&lt;="&amp;($AK231-1),Setting!$D$30:$D$39,"&gt;="&amp;($AK231-1))</f>
        <v>137.6</v>
      </c>
      <c r="AM231" s="14">
        <f>AM230+SUMIFS(Setting!$E$30:$E$39,Setting!$A$30:$A$39,AM$4,Setting!$C$30:$C$39,"&lt;="&amp;($AK231-1),Setting!$D$30:$D$39,"&gt;="&amp;($AK231-1))</f>
        <v>106.8</v>
      </c>
    </row>
    <row r="232" ht="15.75" customHeight="1">
      <c r="AK232" s="14">
        <v>227.0</v>
      </c>
      <c r="AL232" s="14">
        <f>AL231+SUMIFS(Setting!$E$30:$E$39,Setting!$A$30:$A$39,AL$4,Setting!$C$30:$C$39,"&lt;="&amp;($AK232-1),Setting!$D$30:$D$39,"&gt;="&amp;($AK232-1))</f>
        <v>137.8</v>
      </c>
      <c r="AM232" s="14">
        <f>AM231+SUMIFS(Setting!$E$30:$E$39,Setting!$A$30:$A$39,AM$4,Setting!$C$30:$C$39,"&lt;="&amp;($AK232-1),Setting!$D$30:$D$39,"&gt;="&amp;($AK232-1))</f>
        <v>107</v>
      </c>
    </row>
    <row r="233" ht="15.75" customHeight="1">
      <c r="AK233" s="14">
        <v>228.0</v>
      </c>
      <c r="AL233" s="14">
        <f>AL232+SUMIFS(Setting!$E$30:$E$39,Setting!$A$30:$A$39,AL$4,Setting!$C$30:$C$39,"&lt;="&amp;($AK233-1),Setting!$D$30:$D$39,"&gt;="&amp;($AK233-1))</f>
        <v>138</v>
      </c>
      <c r="AM233" s="14">
        <f>AM232+SUMIFS(Setting!$E$30:$E$39,Setting!$A$30:$A$39,AM$4,Setting!$C$30:$C$39,"&lt;="&amp;($AK233-1),Setting!$D$30:$D$39,"&gt;="&amp;($AK233-1))</f>
        <v>107.2</v>
      </c>
    </row>
    <row r="234" ht="15.75" customHeight="1">
      <c r="AK234" s="14">
        <v>229.0</v>
      </c>
      <c r="AL234" s="14">
        <f>AL233+SUMIFS(Setting!$E$30:$E$39,Setting!$A$30:$A$39,AL$4,Setting!$C$30:$C$39,"&lt;="&amp;($AK234-1),Setting!$D$30:$D$39,"&gt;="&amp;($AK234-1))</f>
        <v>138.2</v>
      </c>
      <c r="AM234" s="14">
        <f>AM233+SUMIFS(Setting!$E$30:$E$39,Setting!$A$30:$A$39,AM$4,Setting!$C$30:$C$39,"&lt;="&amp;($AK234-1),Setting!$D$30:$D$39,"&gt;="&amp;($AK234-1))</f>
        <v>107.4</v>
      </c>
    </row>
    <row r="235" ht="15.75" customHeight="1">
      <c r="AK235" s="14">
        <v>230.0</v>
      </c>
      <c r="AL235" s="14">
        <f>AL234+SUMIFS(Setting!$E$30:$E$39,Setting!$A$30:$A$39,AL$4,Setting!$C$30:$C$39,"&lt;="&amp;($AK235-1),Setting!$D$30:$D$39,"&gt;="&amp;($AK235-1))</f>
        <v>138.4</v>
      </c>
      <c r="AM235" s="14">
        <f>AM234+SUMIFS(Setting!$E$30:$E$39,Setting!$A$30:$A$39,AM$4,Setting!$C$30:$C$39,"&lt;="&amp;($AK235-1),Setting!$D$30:$D$39,"&gt;="&amp;($AK235-1))</f>
        <v>107.6</v>
      </c>
    </row>
    <row r="236" ht="15.75" customHeight="1">
      <c r="AK236" s="14">
        <v>231.0</v>
      </c>
      <c r="AL236" s="14">
        <f>AL235+SUMIFS(Setting!$E$30:$E$39,Setting!$A$30:$A$39,AL$4,Setting!$C$30:$C$39,"&lt;="&amp;($AK236-1),Setting!$D$30:$D$39,"&gt;="&amp;($AK236-1))</f>
        <v>138.6</v>
      </c>
      <c r="AM236" s="14">
        <f>AM235+SUMIFS(Setting!$E$30:$E$39,Setting!$A$30:$A$39,AM$4,Setting!$C$30:$C$39,"&lt;="&amp;($AK236-1),Setting!$D$30:$D$39,"&gt;="&amp;($AK236-1))</f>
        <v>107.8</v>
      </c>
    </row>
    <row r="237" ht="15.75" customHeight="1">
      <c r="AK237" s="14">
        <v>232.0</v>
      </c>
      <c r="AL237" s="14">
        <f>AL236+SUMIFS(Setting!$E$30:$E$39,Setting!$A$30:$A$39,AL$4,Setting!$C$30:$C$39,"&lt;="&amp;($AK237-1),Setting!$D$30:$D$39,"&gt;="&amp;($AK237-1))</f>
        <v>138.8</v>
      </c>
      <c r="AM237" s="14">
        <f>AM236+SUMIFS(Setting!$E$30:$E$39,Setting!$A$30:$A$39,AM$4,Setting!$C$30:$C$39,"&lt;="&amp;($AK237-1),Setting!$D$30:$D$39,"&gt;="&amp;($AK237-1))</f>
        <v>108</v>
      </c>
    </row>
    <row r="238" ht="15.75" customHeight="1">
      <c r="AK238" s="14">
        <v>233.0</v>
      </c>
      <c r="AL238" s="14">
        <f>AL237+SUMIFS(Setting!$E$30:$E$39,Setting!$A$30:$A$39,AL$4,Setting!$C$30:$C$39,"&lt;="&amp;($AK238-1),Setting!$D$30:$D$39,"&gt;="&amp;($AK238-1))</f>
        <v>139</v>
      </c>
      <c r="AM238" s="14">
        <f>AM237+SUMIFS(Setting!$E$30:$E$39,Setting!$A$30:$A$39,AM$4,Setting!$C$30:$C$39,"&lt;="&amp;($AK238-1),Setting!$D$30:$D$39,"&gt;="&amp;($AK238-1))</f>
        <v>108.2</v>
      </c>
    </row>
    <row r="239" ht="15.75" customHeight="1">
      <c r="AK239" s="14">
        <v>234.0</v>
      </c>
      <c r="AL239" s="14">
        <f>AL238+SUMIFS(Setting!$E$30:$E$39,Setting!$A$30:$A$39,AL$4,Setting!$C$30:$C$39,"&lt;="&amp;($AK239-1),Setting!$D$30:$D$39,"&gt;="&amp;($AK239-1))</f>
        <v>139.2</v>
      </c>
      <c r="AM239" s="14">
        <f>AM238+SUMIFS(Setting!$E$30:$E$39,Setting!$A$30:$A$39,AM$4,Setting!$C$30:$C$39,"&lt;="&amp;($AK239-1),Setting!$D$30:$D$39,"&gt;="&amp;($AK239-1))</f>
        <v>108.4</v>
      </c>
    </row>
    <row r="240" ht="15.75" customHeight="1">
      <c r="AK240" s="14">
        <v>235.0</v>
      </c>
      <c r="AL240" s="14">
        <f>AL239+SUMIFS(Setting!$E$30:$E$39,Setting!$A$30:$A$39,AL$4,Setting!$C$30:$C$39,"&lt;="&amp;($AK240-1),Setting!$D$30:$D$39,"&gt;="&amp;($AK240-1))</f>
        <v>139.4</v>
      </c>
      <c r="AM240" s="14">
        <f>AM239+SUMIFS(Setting!$E$30:$E$39,Setting!$A$30:$A$39,AM$4,Setting!$C$30:$C$39,"&lt;="&amp;($AK240-1),Setting!$D$30:$D$39,"&gt;="&amp;($AK240-1))</f>
        <v>108.6</v>
      </c>
    </row>
    <row r="241" ht="15.75" customHeight="1">
      <c r="AK241" s="14">
        <v>236.0</v>
      </c>
      <c r="AL241" s="14">
        <f>AL240+SUMIFS(Setting!$E$30:$E$39,Setting!$A$30:$A$39,AL$4,Setting!$C$30:$C$39,"&lt;="&amp;($AK241-1),Setting!$D$30:$D$39,"&gt;="&amp;($AK241-1))</f>
        <v>139.6</v>
      </c>
      <c r="AM241" s="14">
        <f>AM240+SUMIFS(Setting!$E$30:$E$39,Setting!$A$30:$A$39,AM$4,Setting!$C$30:$C$39,"&lt;="&amp;($AK241-1),Setting!$D$30:$D$39,"&gt;="&amp;($AK241-1))</f>
        <v>108.8</v>
      </c>
    </row>
    <row r="242" ht="15.75" customHeight="1">
      <c r="AK242" s="14">
        <v>237.0</v>
      </c>
      <c r="AL242" s="14">
        <f>AL241+SUMIFS(Setting!$E$30:$E$39,Setting!$A$30:$A$39,AL$4,Setting!$C$30:$C$39,"&lt;="&amp;($AK242-1),Setting!$D$30:$D$39,"&gt;="&amp;($AK242-1))</f>
        <v>139.8</v>
      </c>
      <c r="AM242" s="14">
        <f>AM241+SUMIFS(Setting!$E$30:$E$39,Setting!$A$30:$A$39,AM$4,Setting!$C$30:$C$39,"&lt;="&amp;($AK242-1),Setting!$D$30:$D$39,"&gt;="&amp;($AK242-1))</f>
        <v>109</v>
      </c>
    </row>
    <row r="243" ht="15.75" customHeight="1">
      <c r="AK243" s="14">
        <v>238.0</v>
      </c>
      <c r="AL243" s="14">
        <f>AL242+SUMIFS(Setting!$E$30:$E$39,Setting!$A$30:$A$39,AL$4,Setting!$C$30:$C$39,"&lt;="&amp;($AK243-1),Setting!$D$30:$D$39,"&gt;="&amp;($AK243-1))</f>
        <v>140</v>
      </c>
      <c r="AM243" s="14">
        <f>AM242+SUMIFS(Setting!$E$30:$E$39,Setting!$A$30:$A$39,AM$4,Setting!$C$30:$C$39,"&lt;="&amp;($AK243-1),Setting!$D$30:$D$39,"&gt;="&amp;($AK243-1))</f>
        <v>109.2</v>
      </c>
    </row>
    <row r="244" ht="15.75" customHeight="1">
      <c r="AK244" s="14">
        <v>239.0</v>
      </c>
      <c r="AL244" s="14">
        <f>AL243+SUMIFS(Setting!$E$30:$E$39,Setting!$A$30:$A$39,AL$4,Setting!$C$30:$C$39,"&lt;="&amp;($AK244-1),Setting!$D$30:$D$39,"&gt;="&amp;($AK244-1))</f>
        <v>140.2</v>
      </c>
      <c r="AM244" s="14">
        <f>AM243+SUMIFS(Setting!$E$30:$E$39,Setting!$A$30:$A$39,AM$4,Setting!$C$30:$C$39,"&lt;="&amp;($AK244-1),Setting!$D$30:$D$39,"&gt;="&amp;($AK244-1))</f>
        <v>109.4</v>
      </c>
    </row>
    <row r="245" ht="15.75" customHeight="1">
      <c r="AK245" s="14">
        <v>240.0</v>
      </c>
      <c r="AL245" s="14">
        <f>AL244+SUMIFS(Setting!$E$30:$E$39,Setting!$A$30:$A$39,AL$4,Setting!$C$30:$C$39,"&lt;="&amp;($AK245-1),Setting!$D$30:$D$39,"&gt;="&amp;($AK245-1))</f>
        <v>140.4</v>
      </c>
      <c r="AM245" s="14">
        <f>AM244+SUMIFS(Setting!$E$30:$E$39,Setting!$A$30:$A$39,AM$4,Setting!$C$30:$C$39,"&lt;="&amp;($AK245-1),Setting!$D$30:$D$39,"&gt;="&amp;($AK245-1))</f>
        <v>109.6</v>
      </c>
    </row>
    <row r="246" ht="15.75" customHeight="1">
      <c r="AK246" s="14">
        <v>241.0</v>
      </c>
      <c r="AL246" s="14">
        <f>AL245+SUMIFS(Setting!$E$30:$E$39,Setting!$A$30:$A$39,AL$4,Setting!$C$30:$C$39,"&lt;="&amp;($AK246-1),Setting!$D$30:$D$39,"&gt;="&amp;($AK246-1))</f>
        <v>140.6</v>
      </c>
      <c r="AM246" s="14">
        <f>AM245+SUMIFS(Setting!$E$30:$E$39,Setting!$A$30:$A$39,AM$4,Setting!$C$30:$C$39,"&lt;="&amp;($AK246-1),Setting!$D$30:$D$39,"&gt;="&amp;($AK246-1))</f>
        <v>109.8</v>
      </c>
    </row>
    <row r="247" ht="15.75" customHeight="1">
      <c r="AK247" s="14">
        <v>242.0</v>
      </c>
      <c r="AL247" s="14">
        <f>AL246+SUMIFS(Setting!$E$30:$E$39,Setting!$A$30:$A$39,AL$4,Setting!$C$30:$C$39,"&lt;="&amp;($AK247-1),Setting!$D$30:$D$39,"&gt;="&amp;($AK247-1))</f>
        <v>140.8</v>
      </c>
      <c r="AM247" s="14">
        <f>AM246+SUMIFS(Setting!$E$30:$E$39,Setting!$A$30:$A$39,AM$4,Setting!$C$30:$C$39,"&lt;="&amp;($AK247-1),Setting!$D$30:$D$39,"&gt;="&amp;($AK247-1))</f>
        <v>110</v>
      </c>
    </row>
    <row r="248" ht="15.75" customHeight="1">
      <c r="AK248" s="14">
        <v>243.0</v>
      </c>
      <c r="AL248" s="14">
        <f>AL247+SUMIFS(Setting!$E$30:$E$39,Setting!$A$30:$A$39,AL$4,Setting!$C$30:$C$39,"&lt;="&amp;($AK248-1),Setting!$D$30:$D$39,"&gt;="&amp;($AK248-1))</f>
        <v>141</v>
      </c>
      <c r="AM248" s="14">
        <f>AM247+SUMIFS(Setting!$E$30:$E$39,Setting!$A$30:$A$39,AM$4,Setting!$C$30:$C$39,"&lt;="&amp;($AK248-1),Setting!$D$30:$D$39,"&gt;="&amp;($AK248-1))</f>
        <v>110.2</v>
      </c>
    </row>
    <row r="249" ht="15.75" customHeight="1">
      <c r="AK249" s="14">
        <v>244.0</v>
      </c>
      <c r="AL249" s="14">
        <f>AL248+SUMIFS(Setting!$E$30:$E$39,Setting!$A$30:$A$39,AL$4,Setting!$C$30:$C$39,"&lt;="&amp;($AK249-1),Setting!$D$30:$D$39,"&gt;="&amp;($AK249-1))</f>
        <v>141.2</v>
      </c>
      <c r="AM249" s="14">
        <f>AM248+SUMIFS(Setting!$E$30:$E$39,Setting!$A$30:$A$39,AM$4,Setting!$C$30:$C$39,"&lt;="&amp;($AK249-1),Setting!$D$30:$D$39,"&gt;="&amp;($AK249-1))</f>
        <v>110.4</v>
      </c>
    </row>
    <row r="250" ht="15.75" customHeight="1">
      <c r="AK250" s="14">
        <v>245.0</v>
      </c>
      <c r="AL250" s="14">
        <f>AL249+SUMIFS(Setting!$E$30:$E$39,Setting!$A$30:$A$39,AL$4,Setting!$C$30:$C$39,"&lt;="&amp;($AK250-1),Setting!$D$30:$D$39,"&gt;="&amp;($AK250-1))</f>
        <v>141.4</v>
      </c>
      <c r="AM250" s="14">
        <f>AM249+SUMIFS(Setting!$E$30:$E$39,Setting!$A$30:$A$39,AM$4,Setting!$C$30:$C$39,"&lt;="&amp;($AK250-1),Setting!$D$30:$D$39,"&gt;="&amp;($AK250-1))</f>
        <v>110.6</v>
      </c>
    </row>
    <row r="251" ht="15.75" customHeight="1">
      <c r="AK251" s="14">
        <v>246.0</v>
      </c>
      <c r="AL251" s="14">
        <f>AL250+SUMIFS(Setting!$E$30:$E$39,Setting!$A$30:$A$39,AL$4,Setting!$C$30:$C$39,"&lt;="&amp;($AK251-1),Setting!$D$30:$D$39,"&gt;="&amp;($AK251-1))</f>
        <v>141.6</v>
      </c>
      <c r="AM251" s="14">
        <f>AM250+SUMIFS(Setting!$E$30:$E$39,Setting!$A$30:$A$39,AM$4,Setting!$C$30:$C$39,"&lt;="&amp;($AK251-1),Setting!$D$30:$D$39,"&gt;="&amp;($AK251-1))</f>
        <v>110.8</v>
      </c>
    </row>
    <row r="252" ht="15.75" customHeight="1">
      <c r="AK252" s="14">
        <v>247.0</v>
      </c>
      <c r="AL252" s="14">
        <f>AL251+SUMIFS(Setting!$E$30:$E$39,Setting!$A$30:$A$39,AL$4,Setting!$C$30:$C$39,"&lt;="&amp;($AK252-1),Setting!$D$30:$D$39,"&gt;="&amp;($AK252-1))</f>
        <v>141.8</v>
      </c>
      <c r="AM252" s="14">
        <f>AM251+SUMIFS(Setting!$E$30:$E$39,Setting!$A$30:$A$39,AM$4,Setting!$C$30:$C$39,"&lt;="&amp;($AK252-1),Setting!$D$30:$D$39,"&gt;="&amp;($AK252-1))</f>
        <v>111</v>
      </c>
    </row>
    <row r="253" ht="15.75" customHeight="1">
      <c r="AK253" s="14">
        <v>248.0</v>
      </c>
      <c r="AL253" s="14">
        <f>AL252+SUMIFS(Setting!$E$30:$E$39,Setting!$A$30:$A$39,AL$4,Setting!$C$30:$C$39,"&lt;="&amp;($AK253-1),Setting!$D$30:$D$39,"&gt;="&amp;($AK253-1))</f>
        <v>142</v>
      </c>
      <c r="AM253" s="14">
        <f>AM252+SUMIFS(Setting!$E$30:$E$39,Setting!$A$30:$A$39,AM$4,Setting!$C$30:$C$39,"&lt;="&amp;($AK253-1),Setting!$D$30:$D$39,"&gt;="&amp;($AK253-1))</f>
        <v>111.2</v>
      </c>
    </row>
    <row r="254" ht="15.75" customHeight="1">
      <c r="AK254" s="14">
        <v>249.0</v>
      </c>
      <c r="AL254" s="14">
        <f>AL253+SUMIFS(Setting!$E$30:$E$39,Setting!$A$30:$A$39,AL$4,Setting!$C$30:$C$39,"&lt;="&amp;($AK254-1),Setting!$D$30:$D$39,"&gt;="&amp;($AK254-1))</f>
        <v>142.2</v>
      </c>
      <c r="AM254" s="14">
        <f>AM253+SUMIFS(Setting!$E$30:$E$39,Setting!$A$30:$A$39,AM$4,Setting!$C$30:$C$39,"&lt;="&amp;($AK254-1),Setting!$D$30:$D$39,"&gt;="&amp;($AK254-1))</f>
        <v>111.4</v>
      </c>
    </row>
    <row r="255" ht="15.75" customHeight="1">
      <c r="AK255" s="14">
        <v>250.0</v>
      </c>
      <c r="AL255" s="14">
        <f>AL254+SUMIFS(Setting!$E$30:$E$39,Setting!$A$30:$A$39,AL$4,Setting!$C$30:$C$39,"&lt;="&amp;($AK255-1),Setting!$D$30:$D$39,"&gt;="&amp;($AK255-1))</f>
        <v>142.4</v>
      </c>
      <c r="AM255" s="14">
        <f>AM254+SUMIFS(Setting!$E$30:$E$39,Setting!$A$30:$A$39,AM$4,Setting!$C$30:$C$39,"&lt;="&amp;($AK255-1),Setting!$D$30:$D$39,"&gt;="&amp;($AK255-1))</f>
        <v>111.6</v>
      </c>
    </row>
    <row r="256" ht="15.75" customHeight="1">
      <c r="AK256" s="14">
        <v>251.0</v>
      </c>
      <c r="AL256" s="14">
        <f>AL255+SUMIFS(Setting!$E$30:$E$39,Setting!$A$30:$A$39,AL$4,Setting!$C$30:$C$39,"&lt;="&amp;($AK256-1),Setting!$D$30:$D$39,"&gt;="&amp;($AK256-1))</f>
        <v>142.6</v>
      </c>
      <c r="AM256" s="14">
        <f>AM255+SUMIFS(Setting!$E$30:$E$39,Setting!$A$30:$A$39,AM$4,Setting!$C$30:$C$39,"&lt;="&amp;($AK256-1),Setting!$D$30:$D$39,"&gt;="&amp;($AK256-1))</f>
        <v>111.8</v>
      </c>
    </row>
    <row r="257" ht="15.75" customHeight="1">
      <c r="AK257" s="14">
        <v>252.0</v>
      </c>
      <c r="AL257" s="14">
        <f>AL256+SUMIFS(Setting!$E$30:$E$39,Setting!$A$30:$A$39,AL$4,Setting!$C$30:$C$39,"&lt;="&amp;($AK257-1),Setting!$D$30:$D$39,"&gt;="&amp;($AK257-1))</f>
        <v>142.8</v>
      </c>
      <c r="AM257" s="14">
        <f>AM256+SUMIFS(Setting!$E$30:$E$39,Setting!$A$30:$A$39,AM$4,Setting!$C$30:$C$39,"&lt;="&amp;($AK257-1),Setting!$D$30:$D$39,"&gt;="&amp;($AK257-1))</f>
        <v>112</v>
      </c>
    </row>
    <row r="258" ht="15.75" customHeight="1">
      <c r="AK258" s="14">
        <v>253.0</v>
      </c>
      <c r="AL258" s="14">
        <f>AL257+SUMIFS(Setting!$E$30:$E$39,Setting!$A$30:$A$39,AL$4,Setting!$C$30:$C$39,"&lt;="&amp;($AK258-1),Setting!$D$30:$D$39,"&gt;="&amp;($AK258-1))</f>
        <v>143</v>
      </c>
      <c r="AM258" s="14">
        <f>AM257+SUMIFS(Setting!$E$30:$E$39,Setting!$A$30:$A$39,AM$4,Setting!$C$30:$C$39,"&lt;="&amp;($AK258-1),Setting!$D$30:$D$39,"&gt;="&amp;($AK258-1))</f>
        <v>112.2</v>
      </c>
    </row>
    <row r="259" ht="15.75" customHeight="1">
      <c r="AK259" s="14">
        <v>254.0</v>
      </c>
      <c r="AL259" s="14">
        <f>AL258+SUMIFS(Setting!$E$30:$E$39,Setting!$A$30:$A$39,AL$4,Setting!$C$30:$C$39,"&lt;="&amp;($AK259-1),Setting!$D$30:$D$39,"&gt;="&amp;($AK259-1))</f>
        <v>143.2</v>
      </c>
      <c r="AM259" s="14">
        <f>AM258+SUMIFS(Setting!$E$30:$E$39,Setting!$A$30:$A$39,AM$4,Setting!$C$30:$C$39,"&lt;="&amp;($AK259-1),Setting!$D$30:$D$39,"&gt;="&amp;($AK259-1))</f>
        <v>112.4</v>
      </c>
    </row>
    <row r="260" ht="15.75" customHeight="1">
      <c r="AK260" s="14">
        <v>255.0</v>
      </c>
      <c r="AL260" s="14">
        <f>AL259+SUMIFS(Setting!$E$30:$E$39,Setting!$A$30:$A$39,AL$4,Setting!$C$30:$C$39,"&lt;="&amp;($AK260-1),Setting!$D$30:$D$39,"&gt;="&amp;($AK260-1))</f>
        <v>143.4</v>
      </c>
      <c r="AM260" s="14">
        <f>AM259+SUMIFS(Setting!$E$30:$E$39,Setting!$A$30:$A$39,AM$4,Setting!$C$30:$C$39,"&lt;="&amp;($AK260-1),Setting!$D$30:$D$39,"&gt;="&amp;($AK260-1))</f>
        <v>112.6</v>
      </c>
    </row>
    <row r="261" ht="15.75" customHeight="1">
      <c r="AK261" s="14">
        <v>256.0</v>
      </c>
      <c r="AL261" s="14">
        <f>AL260+SUMIFS(Setting!$E$30:$E$39,Setting!$A$30:$A$39,AL$4,Setting!$C$30:$C$39,"&lt;="&amp;($AK261-1),Setting!$D$30:$D$39,"&gt;="&amp;($AK261-1))</f>
        <v>143.6</v>
      </c>
      <c r="AM261" s="14">
        <f>AM260+SUMIFS(Setting!$E$30:$E$39,Setting!$A$30:$A$39,AM$4,Setting!$C$30:$C$39,"&lt;="&amp;($AK261-1),Setting!$D$30:$D$39,"&gt;="&amp;($AK261-1))</f>
        <v>112.8</v>
      </c>
    </row>
    <row r="262" ht="15.75" customHeight="1">
      <c r="AK262" s="14">
        <v>257.0</v>
      </c>
      <c r="AL262" s="14">
        <f>AL261+SUMIFS(Setting!$E$30:$E$39,Setting!$A$30:$A$39,AL$4,Setting!$C$30:$C$39,"&lt;="&amp;($AK262-1),Setting!$D$30:$D$39,"&gt;="&amp;($AK262-1))</f>
        <v>143.8</v>
      </c>
      <c r="AM262" s="14">
        <f>AM261+SUMIFS(Setting!$E$30:$E$39,Setting!$A$30:$A$39,AM$4,Setting!$C$30:$C$39,"&lt;="&amp;($AK262-1),Setting!$D$30:$D$39,"&gt;="&amp;($AK262-1))</f>
        <v>113</v>
      </c>
    </row>
    <row r="263" ht="15.75" customHeight="1">
      <c r="AK263" s="14">
        <v>258.0</v>
      </c>
      <c r="AL263" s="14">
        <f>AL262+SUMIFS(Setting!$E$30:$E$39,Setting!$A$30:$A$39,AL$4,Setting!$C$30:$C$39,"&lt;="&amp;($AK263-1),Setting!$D$30:$D$39,"&gt;="&amp;($AK263-1))</f>
        <v>144</v>
      </c>
      <c r="AM263" s="14">
        <f>AM262+SUMIFS(Setting!$E$30:$E$39,Setting!$A$30:$A$39,AM$4,Setting!$C$30:$C$39,"&lt;="&amp;($AK263-1),Setting!$D$30:$D$39,"&gt;="&amp;($AK263-1))</f>
        <v>113.2</v>
      </c>
    </row>
    <row r="264" ht="15.75" customHeight="1">
      <c r="AK264" s="14">
        <v>259.0</v>
      </c>
      <c r="AL264" s="14">
        <f>AL263+SUMIFS(Setting!$E$30:$E$39,Setting!$A$30:$A$39,AL$4,Setting!$C$30:$C$39,"&lt;="&amp;($AK264-1),Setting!$D$30:$D$39,"&gt;="&amp;($AK264-1))</f>
        <v>144.2</v>
      </c>
      <c r="AM264" s="14">
        <f>AM263+SUMIFS(Setting!$E$30:$E$39,Setting!$A$30:$A$39,AM$4,Setting!$C$30:$C$39,"&lt;="&amp;($AK264-1),Setting!$D$30:$D$39,"&gt;="&amp;($AK264-1))</f>
        <v>113.4</v>
      </c>
    </row>
    <row r="265" ht="15.75" customHeight="1">
      <c r="AK265" s="14">
        <v>260.0</v>
      </c>
      <c r="AL265" s="14">
        <f>AL264+SUMIFS(Setting!$E$30:$E$39,Setting!$A$30:$A$39,AL$4,Setting!$C$30:$C$39,"&lt;="&amp;($AK265-1),Setting!$D$30:$D$39,"&gt;="&amp;($AK265-1))</f>
        <v>144.4</v>
      </c>
      <c r="AM265" s="14">
        <f>AM264+SUMIFS(Setting!$E$30:$E$39,Setting!$A$30:$A$39,AM$4,Setting!$C$30:$C$39,"&lt;="&amp;($AK265-1),Setting!$D$30:$D$39,"&gt;="&amp;($AK265-1))</f>
        <v>113.6</v>
      </c>
    </row>
    <row r="266" ht="15.75" customHeight="1">
      <c r="AK266" s="14">
        <v>261.0</v>
      </c>
      <c r="AL266" s="14">
        <f>AL265+SUMIFS(Setting!$E$30:$E$39,Setting!$A$30:$A$39,AL$4,Setting!$C$30:$C$39,"&lt;="&amp;($AK266-1),Setting!$D$30:$D$39,"&gt;="&amp;($AK266-1))</f>
        <v>144.6</v>
      </c>
      <c r="AM266" s="14">
        <f>AM265+SUMIFS(Setting!$E$30:$E$39,Setting!$A$30:$A$39,AM$4,Setting!$C$30:$C$39,"&lt;="&amp;($AK266-1),Setting!$D$30:$D$39,"&gt;="&amp;($AK266-1))</f>
        <v>113.8</v>
      </c>
    </row>
    <row r="267" ht="15.75" customHeight="1">
      <c r="AK267" s="14">
        <v>262.0</v>
      </c>
      <c r="AL267" s="14">
        <f>AL266+SUMIFS(Setting!$E$30:$E$39,Setting!$A$30:$A$39,AL$4,Setting!$C$30:$C$39,"&lt;="&amp;($AK267-1),Setting!$D$30:$D$39,"&gt;="&amp;($AK267-1))</f>
        <v>144.8</v>
      </c>
      <c r="AM267" s="14">
        <f>AM266+SUMIFS(Setting!$E$30:$E$39,Setting!$A$30:$A$39,AM$4,Setting!$C$30:$C$39,"&lt;="&amp;($AK267-1),Setting!$D$30:$D$39,"&gt;="&amp;($AK267-1))</f>
        <v>114</v>
      </c>
    </row>
    <row r="268" ht="15.75" customHeight="1">
      <c r="AK268" s="14">
        <v>263.0</v>
      </c>
      <c r="AL268" s="14">
        <f>AL267+SUMIFS(Setting!$E$30:$E$39,Setting!$A$30:$A$39,AL$4,Setting!$C$30:$C$39,"&lt;="&amp;($AK268-1),Setting!$D$30:$D$39,"&gt;="&amp;($AK268-1))</f>
        <v>145</v>
      </c>
      <c r="AM268" s="14">
        <f>AM267+SUMIFS(Setting!$E$30:$E$39,Setting!$A$30:$A$39,AM$4,Setting!$C$30:$C$39,"&lt;="&amp;($AK268-1),Setting!$D$30:$D$39,"&gt;="&amp;($AK268-1))</f>
        <v>114.2</v>
      </c>
    </row>
    <row r="269" ht="15.75" customHeight="1">
      <c r="AK269" s="14">
        <v>264.0</v>
      </c>
      <c r="AL269" s="14">
        <f>AL268+SUMIFS(Setting!$E$30:$E$39,Setting!$A$30:$A$39,AL$4,Setting!$C$30:$C$39,"&lt;="&amp;($AK269-1),Setting!$D$30:$D$39,"&gt;="&amp;($AK269-1))</f>
        <v>145.2</v>
      </c>
      <c r="AM269" s="14">
        <f>AM268+SUMIFS(Setting!$E$30:$E$39,Setting!$A$30:$A$39,AM$4,Setting!$C$30:$C$39,"&lt;="&amp;($AK269-1),Setting!$D$30:$D$39,"&gt;="&amp;($AK269-1))</f>
        <v>114.4</v>
      </c>
    </row>
    <row r="270" ht="15.75" customHeight="1">
      <c r="AK270" s="14">
        <v>265.0</v>
      </c>
      <c r="AL270" s="14">
        <f>AL269+SUMIFS(Setting!$E$30:$E$39,Setting!$A$30:$A$39,AL$4,Setting!$C$30:$C$39,"&lt;="&amp;($AK270-1),Setting!$D$30:$D$39,"&gt;="&amp;($AK270-1))</f>
        <v>145.4</v>
      </c>
      <c r="AM270" s="14">
        <f>AM269+SUMIFS(Setting!$E$30:$E$39,Setting!$A$30:$A$39,AM$4,Setting!$C$30:$C$39,"&lt;="&amp;($AK270-1),Setting!$D$30:$D$39,"&gt;="&amp;($AK270-1))</f>
        <v>114.6</v>
      </c>
    </row>
    <row r="271" ht="15.75" customHeight="1">
      <c r="AK271" s="14">
        <v>266.0</v>
      </c>
      <c r="AL271" s="14">
        <f>AL270+SUMIFS(Setting!$E$30:$E$39,Setting!$A$30:$A$39,AL$4,Setting!$C$30:$C$39,"&lt;="&amp;($AK271-1),Setting!$D$30:$D$39,"&gt;="&amp;($AK271-1))</f>
        <v>145.6</v>
      </c>
      <c r="AM271" s="14">
        <f>AM270+SUMIFS(Setting!$E$30:$E$39,Setting!$A$30:$A$39,AM$4,Setting!$C$30:$C$39,"&lt;="&amp;($AK271-1),Setting!$D$30:$D$39,"&gt;="&amp;($AK271-1))</f>
        <v>114.8</v>
      </c>
    </row>
    <row r="272" ht="15.75" customHeight="1">
      <c r="AK272" s="14">
        <v>267.0</v>
      </c>
      <c r="AL272" s="14">
        <f>AL271+SUMIFS(Setting!$E$30:$E$39,Setting!$A$30:$A$39,AL$4,Setting!$C$30:$C$39,"&lt;="&amp;($AK272-1),Setting!$D$30:$D$39,"&gt;="&amp;($AK272-1))</f>
        <v>145.8</v>
      </c>
      <c r="AM272" s="14">
        <f>AM271+SUMIFS(Setting!$E$30:$E$39,Setting!$A$30:$A$39,AM$4,Setting!$C$30:$C$39,"&lt;="&amp;($AK272-1),Setting!$D$30:$D$39,"&gt;="&amp;($AK272-1))</f>
        <v>115</v>
      </c>
    </row>
    <row r="273" ht="15.75" customHeight="1">
      <c r="AK273" s="14">
        <v>268.0</v>
      </c>
      <c r="AL273" s="14">
        <f>AL272+SUMIFS(Setting!$E$30:$E$39,Setting!$A$30:$A$39,AL$4,Setting!$C$30:$C$39,"&lt;="&amp;($AK273-1),Setting!$D$30:$D$39,"&gt;="&amp;($AK273-1))</f>
        <v>146</v>
      </c>
      <c r="AM273" s="14">
        <f>AM272+SUMIFS(Setting!$E$30:$E$39,Setting!$A$30:$A$39,AM$4,Setting!$C$30:$C$39,"&lt;="&amp;($AK273-1),Setting!$D$30:$D$39,"&gt;="&amp;($AK273-1))</f>
        <v>115.2</v>
      </c>
    </row>
    <row r="274" ht="15.75" customHeight="1">
      <c r="AK274" s="14">
        <v>269.0</v>
      </c>
      <c r="AL274" s="14">
        <f>AL273+SUMIFS(Setting!$E$30:$E$39,Setting!$A$30:$A$39,AL$4,Setting!$C$30:$C$39,"&lt;="&amp;($AK274-1),Setting!$D$30:$D$39,"&gt;="&amp;($AK274-1))</f>
        <v>146.2</v>
      </c>
      <c r="AM274" s="14">
        <f>AM273+SUMIFS(Setting!$E$30:$E$39,Setting!$A$30:$A$39,AM$4,Setting!$C$30:$C$39,"&lt;="&amp;($AK274-1),Setting!$D$30:$D$39,"&gt;="&amp;($AK274-1))</f>
        <v>115.4</v>
      </c>
    </row>
    <row r="275" ht="15.75" customHeight="1">
      <c r="AK275" s="14">
        <v>270.0</v>
      </c>
      <c r="AL275" s="14">
        <f>AL274+SUMIFS(Setting!$E$30:$E$39,Setting!$A$30:$A$39,AL$4,Setting!$C$30:$C$39,"&lt;="&amp;($AK275-1),Setting!$D$30:$D$39,"&gt;="&amp;($AK275-1))</f>
        <v>146.4</v>
      </c>
      <c r="AM275" s="14">
        <f>AM274+SUMIFS(Setting!$E$30:$E$39,Setting!$A$30:$A$39,AM$4,Setting!$C$30:$C$39,"&lt;="&amp;($AK275-1),Setting!$D$30:$D$39,"&gt;="&amp;($AK275-1))</f>
        <v>115.6</v>
      </c>
    </row>
    <row r="276" ht="15.75" customHeight="1">
      <c r="AK276" s="14">
        <v>271.0</v>
      </c>
      <c r="AL276" s="14">
        <f>AL275+SUMIFS(Setting!$E$30:$E$39,Setting!$A$30:$A$39,AL$4,Setting!$C$30:$C$39,"&lt;="&amp;($AK276-1),Setting!$D$30:$D$39,"&gt;="&amp;($AK276-1))</f>
        <v>146.6</v>
      </c>
      <c r="AM276" s="14">
        <f>AM275+SUMIFS(Setting!$E$30:$E$39,Setting!$A$30:$A$39,AM$4,Setting!$C$30:$C$39,"&lt;="&amp;($AK276-1),Setting!$D$30:$D$39,"&gt;="&amp;($AK276-1))</f>
        <v>115.8</v>
      </c>
    </row>
    <row r="277" ht="15.75" customHeight="1">
      <c r="AK277" s="14">
        <v>272.0</v>
      </c>
      <c r="AL277" s="14">
        <f>AL276+SUMIFS(Setting!$E$30:$E$39,Setting!$A$30:$A$39,AL$4,Setting!$C$30:$C$39,"&lt;="&amp;($AK277-1),Setting!$D$30:$D$39,"&gt;="&amp;($AK277-1))</f>
        <v>146.8</v>
      </c>
      <c r="AM277" s="14">
        <f>AM276+SUMIFS(Setting!$E$30:$E$39,Setting!$A$30:$A$39,AM$4,Setting!$C$30:$C$39,"&lt;="&amp;($AK277-1),Setting!$D$30:$D$39,"&gt;="&amp;($AK277-1))</f>
        <v>116</v>
      </c>
    </row>
    <row r="278" ht="15.75" customHeight="1">
      <c r="AK278" s="14">
        <v>273.0</v>
      </c>
      <c r="AL278" s="14">
        <f>AL277+SUMIFS(Setting!$E$30:$E$39,Setting!$A$30:$A$39,AL$4,Setting!$C$30:$C$39,"&lt;="&amp;($AK278-1),Setting!$D$30:$D$39,"&gt;="&amp;($AK278-1))</f>
        <v>147</v>
      </c>
      <c r="AM278" s="14">
        <f>AM277+SUMIFS(Setting!$E$30:$E$39,Setting!$A$30:$A$39,AM$4,Setting!$C$30:$C$39,"&lt;="&amp;($AK278-1),Setting!$D$30:$D$39,"&gt;="&amp;($AK278-1))</f>
        <v>116.2</v>
      </c>
    </row>
    <row r="279" ht="15.75" customHeight="1">
      <c r="AK279" s="14">
        <v>274.0</v>
      </c>
      <c r="AL279" s="14">
        <f>AL278+SUMIFS(Setting!$E$30:$E$39,Setting!$A$30:$A$39,AL$4,Setting!$C$30:$C$39,"&lt;="&amp;($AK279-1),Setting!$D$30:$D$39,"&gt;="&amp;($AK279-1))</f>
        <v>147.2</v>
      </c>
      <c r="AM279" s="14">
        <f>AM278+SUMIFS(Setting!$E$30:$E$39,Setting!$A$30:$A$39,AM$4,Setting!$C$30:$C$39,"&lt;="&amp;($AK279-1),Setting!$D$30:$D$39,"&gt;="&amp;($AK279-1))</f>
        <v>116.4</v>
      </c>
    </row>
    <row r="280" ht="15.75" customHeight="1">
      <c r="AK280" s="14">
        <v>275.0</v>
      </c>
      <c r="AL280" s="14">
        <f>AL279+SUMIFS(Setting!$E$30:$E$39,Setting!$A$30:$A$39,AL$4,Setting!$C$30:$C$39,"&lt;="&amp;($AK280-1),Setting!$D$30:$D$39,"&gt;="&amp;($AK280-1))</f>
        <v>147.4</v>
      </c>
      <c r="AM280" s="14">
        <f>AM279+SUMIFS(Setting!$E$30:$E$39,Setting!$A$30:$A$39,AM$4,Setting!$C$30:$C$39,"&lt;="&amp;($AK280-1),Setting!$D$30:$D$39,"&gt;="&amp;($AK280-1))</f>
        <v>116.6</v>
      </c>
    </row>
    <row r="281" ht="15.75" customHeight="1">
      <c r="AK281" s="14">
        <v>276.0</v>
      </c>
      <c r="AL281" s="14">
        <f>AL280+SUMIFS(Setting!$E$30:$E$39,Setting!$A$30:$A$39,AL$4,Setting!$C$30:$C$39,"&lt;="&amp;($AK281-1),Setting!$D$30:$D$39,"&gt;="&amp;($AK281-1))</f>
        <v>147.6</v>
      </c>
      <c r="AM281" s="14">
        <f>AM280+SUMIFS(Setting!$E$30:$E$39,Setting!$A$30:$A$39,AM$4,Setting!$C$30:$C$39,"&lt;="&amp;($AK281-1),Setting!$D$30:$D$39,"&gt;="&amp;($AK281-1))</f>
        <v>116.8</v>
      </c>
    </row>
    <row r="282" ht="15.75" customHeight="1">
      <c r="AK282" s="14">
        <v>277.0</v>
      </c>
      <c r="AL282" s="14">
        <f>AL281+SUMIFS(Setting!$E$30:$E$39,Setting!$A$30:$A$39,AL$4,Setting!$C$30:$C$39,"&lt;="&amp;($AK282-1),Setting!$D$30:$D$39,"&gt;="&amp;($AK282-1))</f>
        <v>147.8</v>
      </c>
      <c r="AM282" s="14">
        <f>AM281+SUMIFS(Setting!$E$30:$E$39,Setting!$A$30:$A$39,AM$4,Setting!$C$30:$C$39,"&lt;="&amp;($AK282-1),Setting!$D$30:$D$39,"&gt;="&amp;($AK282-1))</f>
        <v>117</v>
      </c>
    </row>
    <row r="283" ht="15.75" customHeight="1">
      <c r="AK283" s="14">
        <v>278.0</v>
      </c>
      <c r="AL283" s="14">
        <f>AL282+SUMIFS(Setting!$E$30:$E$39,Setting!$A$30:$A$39,AL$4,Setting!$C$30:$C$39,"&lt;="&amp;($AK283-1),Setting!$D$30:$D$39,"&gt;="&amp;($AK283-1))</f>
        <v>148</v>
      </c>
      <c r="AM283" s="14">
        <f>AM282+SUMIFS(Setting!$E$30:$E$39,Setting!$A$30:$A$39,AM$4,Setting!$C$30:$C$39,"&lt;="&amp;($AK283-1),Setting!$D$30:$D$39,"&gt;="&amp;($AK283-1))</f>
        <v>117.2</v>
      </c>
    </row>
    <row r="284" ht="15.75" customHeight="1">
      <c r="AK284" s="14">
        <v>279.0</v>
      </c>
      <c r="AL284" s="14">
        <f>AL283+SUMIFS(Setting!$E$30:$E$39,Setting!$A$30:$A$39,AL$4,Setting!$C$30:$C$39,"&lt;="&amp;($AK284-1),Setting!$D$30:$D$39,"&gt;="&amp;($AK284-1))</f>
        <v>148.2</v>
      </c>
      <c r="AM284" s="14">
        <f>AM283+SUMIFS(Setting!$E$30:$E$39,Setting!$A$30:$A$39,AM$4,Setting!$C$30:$C$39,"&lt;="&amp;($AK284-1),Setting!$D$30:$D$39,"&gt;="&amp;($AK284-1))</f>
        <v>117.4</v>
      </c>
    </row>
    <row r="285" ht="15.75" customHeight="1">
      <c r="AK285" s="14">
        <v>280.0</v>
      </c>
      <c r="AL285" s="14">
        <f>AL284+SUMIFS(Setting!$E$30:$E$39,Setting!$A$30:$A$39,AL$4,Setting!$C$30:$C$39,"&lt;="&amp;($AK285-1),Setting!$D$30:$D$39,"&gt;="&amp;($AK285-1))</f>
        <v>148.4</v>
      </c>
      <c r="AM285" s="14">
        <f>AM284+SUMIFS(Setting!$E$30:$E$39,Setting!$A$30:$A$39,AM$4,Setting!$C$30:$C$39,"&lt;="&amp;($AK285-1),Setting!$D$30:$D$39,"&gt;="&amp;($AK285-1))</f>
        <v>117.6</v>
      </c>
    </row>
    <row r="286" ht="15.75" customHeight="1">
      <c r="AK286" s="14">
        <v>281.0</v>
      </c>
      <c r="AL286" s="14">
        <f>AL285+SUMIFS(Setting!$E$30:$E$39,Setting!$A$30:$A$39,AL$4,Setting!$C$30:$C$39,"&lt;="&amp;($AK286-1),Setting!$D$30:$D$39,"&gt;="&amp;($AK286-1))</f>
        <v>148.6</v>
      </c>
      <c r="AM286" s="14">
        <f>AM285+SUMIFS(Setting!$E$30:$E$39,Setting!$A$30:$A$39,AM$4,Setting!$C$30:$C$39,"&lt;="&amp;($AK286-1),Setting!$D$30:$D$39,"&gt;="&amp;($AK286-1))</f>
        <v>117.8</v>
      </c>
    </row>
    <row r="287" ht="15.75" customHeight="1">
      <c r="AK287" s="14">
        <v>282.0</v>
      </c>
      <c r="AL287" s="14">
        <f>AL286+SUMIFS(Setting!$E$30:$E$39,Setting!$A$30:$A$39,AL$4,Setting!$C$30:$C$39,"&lt;="&amp;($AK287-1),Setting!$D$30:$D$39,"&gt;="&amp;($AK287-1))</f>
        <v>148.8</v>
      </c>
      <c r="AM287" s="14">
        <f>AM286+SUMIFS(Setting!$E$30:$E$39,Setting!$A$30:$A$39,AM$4,Setting!$C$30:$C$39,"&lt;="&amp;($AK287-1),Setting!$D$30:$D$39,"&gt;="&amp;($AK287-1))</f>
        <v>118</v>
      </c>
    </row>
    <row r="288" ht="15.75" customHeight="1">
      <c r="AK288" s="14">
        <v>283.0</v>
      </c>
      <c r="AL288" s="14">
        <f>AL287+SUMIFS(Setting!$E$30:$E$39,Setting!$A$30:$A$39,AL$4,Setting!$C$30:$C$39,"&lt;="&amp;($AK288-1),Setting!$D$30:$D$39,"&gt;="&amp;($AK288-1))</f>
        <v>149</v>
      </c>
      <c r="AM288" s="14">
        <f>AM287+SUMIFS(Setting!$E$30:$E$39,Setting!$A$30:$A$39,AM$4,Setting!$C$30:$C$39,"&lt;="&amp;($AK288-1),Setting!$D$30:$D$39,"&gt;="&amp;($AK288-1))</f>
        <v>118.2</v>
      </c>
    </row>
    <row r="289" ht="15.75" customHeight="1">
      <c r="AK289" s="14">
        <v>284.0</v>
      </c>
      <c r="AL289" s="14">
        <f>AL288+SUMIFS(Setting!$E$30:$E$39,Setting!$A$30:$A$39,AL$4,Setting!$C$30:$C$39,"&lt;="&amp;($AK289-1),Setting!$D$30:$D$39,"&gt;="&amp;($AK289-1))</f>
        <v>149.2</v>
      </c>
      <c r="AM289" s="14">
        <f>AM288+SUMIFS(Setting!$E$30:$E$39,Setting!$A$30:$A$39,AM$4,Setting!$C$30:$C$39,"&lt;="&amp;($AK289-1),Setting!$D$30:$D$39,"&gt;="&amp;($AK289-1))</f>
        <v>118.4</v>
      </c>
    </row>
    <row r="290" ht="15.75" customHeight="1">
      <c r="AK290" s="14">
        <v>285.0</v>
      </c>
      <c r="AL290" s="14">
        <f>AL289+SUMIFS(Setting!$E$30:$E$39,Setting!$A$30:$A$39,AL$4,Setting!$C$30:$C$39,"&lt;="&amp;($AK290-1),Setting!$D$30:$D$39,"&gt;="&amp;($AK290-1))</f>
        <v>149.4</v>
      </c>
      <c r="AM290" s="14">
        <f>AM289+SUMIFS(Setting!$E$30:$E$39,Setting!$A$30:$A$39,AM$4,Setting!$C$30:$C$39,"&lt;="&amp;($AK290-1),Setting!$D$30:$D$39,"&gt;="&amp;($AK290-1))</f>
        <v>118.6</v>
      </c>
    </row>
    <row r="291" ht="15.75" customHeight="1">
      <c r="AK291" s="14">
        <v>286.0</v>
      </c>
      <c r="AL291" s="14">
        <f>AL290+SUMIFS(Setting!$E$30:$E$39,Setting!$A$30:$A$39,AL$4,Setting!$C$30:$C$39,"&lt;="&amp;($AK291-1),Setting!$D$30:$D$39,"&gt;="&amp;($AK291-1))</f>
        <v>149.6</v>
      </c>
      <c r="AM291" s="14">
        <f>AM290+SUMIFS(Setting!$E$30:$E$39,Setting!$A$30:$A$39,AM$4,Setting!$C$30:$C$39,"&lt;="&amp;($AK291-1),Setting!$D$30:$D$39,"&gt;="&amp;($AK291-1))</f>
        <v>118.8</v>
      </c>
    </row>
    <row r="292" ht="15.75" customHeight="1">
      <c r="AK292" s="14">
        <v>287.0</v>
      </c>
      <c r="AL292" s="14">
        <f>AL291+SUMIFS(Setting!$E$30:$E$39,Setting!$A$30:$A$39,AL$4,Setting!$C$30:$C$39,"&lt;="&amp;($AK292-1),Setting!$D$30:$D$39,"&gt;="&amp;($AK292-1))</f>
        <v>149.8</v>
      </c>
      <c r="AM292" s="14">
        <f>AM291+SUMIFS(Setting!$E$30:$E$39,Setting!$A$30:$A$39,AM$4,Setting!$C$30:$C$39,"&lt;="&amp;($AK292-1),Setting!$D$30:$D$39,"&gt;="&amp;($AK292-1))</f>
        <v>119</v>
      </c>
    </row>
    <row r="293" ht="15.75" customHeight="1">
      <c r="AK293" s="14">
        <v>288.0</v>
      </c>
      <c r="AL293" s="14">
        <f>AL292+SUMIFS(Setting!$E$30:$E$39,Setting!$A$30:$A$39,AL$4,Setting!$C$30:$C$39,"&lt;="&amp;($AK293-1),Setting!$D$30:$D$39,"&gt;="&amp;($AK293-1))</f>
        <v>150</v>
      </c>
      <c r="AM293" s="14">
        <f>AM292+SUMIFS(Setting!$E$30:$E$39,Setting!$A$30:$A$39,AM$4,Setting!$C$30:$C$39,"&lt;="&amp;($AK293-1),Setting!$D$30:$D$39,"&gt;="&amp;($AK293-1))</f>
        <v>119.2</v>
      </c>
    </row>
    <row r="294" ht="15.75" customHeight="1">
      <c r="AK294" s="14">
        <v>289.0</v>
      </c>
      <c r="AL294" s="14">
        <f>AL293+SUMIFS(Setting!$E$30:$E$39,Setting!$A$30:$A$39,AL$4,Setting!$C$30:$C$39,"&lt;="&amp;($AK294-1),Setting!$D$30:$D$39,"&gt;="&amp;($AK294-1))</f>
        <v>150.2</v>
      </c>
      <c r="AM294" s="14">
        <f>AM293+SUMIFS(Setting!$E$30:$E$39,Setting!$A$30:$A$39,AM$4,Setting!$C$30:$C$39,"&lt;="&amp;($AK294-1),Setting!$D$30:$D$39,"&gt;="&amp;($AK294-1))</f>
        <v>119.4</v>
      </c>
    </row>
    <row r="295" ht="15.75" customHeight="1">
      <c r="AK295" s="14">
        <v>290.0</v>
      </c>
      <c r="AL295" s="14">
        <f>AL294+SUMIFS(Setting!$E$30:$E$39,Setting!$A$30:$A$39,AL$4,Setting!$C$30:$C$39,"&lt;="&amp;($AK295-1),Setting!$D$30:$D$39,"&gt;="&amp;($AK295-1))</f>
        <v>150.4</v>
      </c>
      <c r="AM295" s="14">
        <f>AM294+SUMIFS(Setting!$E$30:$E$39,Setting!$A$30:$A$39,AM$4,Setting!$C$30:$C$39,"&lt;="&amp;($AK295-1),Setting!$D$30:$D$39,"&gt;="&amp;($AK295-1))</f>
        <v>119.6</v>
      </c>
    </row>
    <row r="296" ht="15.75" customHeight="1">
      <c r="AK296" s="14">
        <v>291.0</v>
      </c>
      <c r="AL296" s="14">
        <f>AL295+SUMIFS(Setting!$E$30:$E$39,Setting!$A$30:$A$39,AL$4,Setting!$C$30:$C$39,"&lt;="&amp;($AK296-1),Setting!$D$30:$D$39,"&gt;="&amp;($AK296-1))</f>
        <v>150.6</v>
      </c>
      <c r="AM296" s="14">
        <f>AM295+SUMIFS(Setting!$E$30:$E$39,Setting!$A$30:$A$39,AM$4,Setting!$C$30:$C$39,"&lt;="&amp;($AK296-1),Setting!$D$30:$D$39,"&gt;="&amp;($AK296-1))</f>
        <v>119.8</v>
      </c>
    </row>
    <row r="297" ht="15.75" customHeight="1">
      <c r="AK297" s="14">
        <v>292.0</v>
      </c>
      <c r="AL297" s="14">
        <f>AL296+SUMIFS(Setting!$E$30:$E$39,Setting!$A$30:$A$39,AL$4,Setting!$C$30:$C$39,"&lt;="&amp;($AK297-1),Setting!$D$30:$D$39,"&gt;="&amp;($AK297-1))</f>
        <v>150.8</v>
      </c>
      <c r="AM297" s="14">
        <f>AM296+SUMIFS(Setting!$E$30:$E$39,Setting!$A$30:$A$39,AM$4,Setting!$C$30:$C$39,"&lt;="&amp;($AK297-1),Setting!$D$30:$D$39,"&gt;="&amp;($AK297-1))</f>
        <v>120</v>
      </c>
    </row>
    <row r="298" ht="15.75" customHeight="1">
      <c r="AK298" s="14">
        <v>293.0</v>
      </c>
      <c r="AL298" s="14">
        <f>AL297+SUMIFS(Setting!$E$30:$E$39,Setting!$A$30:$A$39,AL$4,Setting!$C$30:$C$39,"&lt;="&amp;($AK298-1),Setting!$D$30:$D$39,"&gt;="&amp;($AK298-1))</f>
        <v>151</v>
      </c>
      <c r="AM298" s="14">
        <f>AM297+SUMIFS(Setting!$E$30:$E$39,Setting!$A$30:$A$39,AM$4,Setting!$C$30:$C$39,"&lt;="&amp;($AK298-1),Setting!$D$30:$D$39,"&gt;="&amp;($AK298-1))</f>
        <v>120.2</v>
      </c>
    </row>
    <row r="299" ht="15.75" customHeight="1">
      <c r="AK299" s="14">
        <v>294.0</v>
      </c>
      <c r="AL299" s="14">
        <f>AL298+SUMIFS(Setting!$E$30:$E$39,Setting!$A$30:$A$39,AL$4,Setting!$C$30:$C$39,"&lt;="&amp;($AK299-1),Setting!$D$30:$D$39,"&gt;="&amp;($AK299-1))</f>
        <v>151.2</v>
      </c>
      <c r="AM299" s="14">
        <f>AM298+SUMIFS(Setting!$E$30:$E$39,Setting!$A$30:$A$39,AM$4,Setting!$C$30:$C$39,"&lt;="&amp;($AK299-1),Setting!$D$30:$D$39,"&gt;="&amp;($AK299-1))</f>
        <v>120.4</v>
      </c>
    </row>
    <row r="300" ht="15.75" customHeight="1">
      <c r="AK300" s="14">
        <v>295.0</v>
      </c>
      <c r="AL300" s="14">
        <f>AL299+SUMIFS(Setting!$E$30:$E$39,Setting!$A$30:$A$39,AL$4,Setting!$C$30:$C$39,"&lt;="&amp;($AK300-1),Setting!$D$30:$D$39,"&gt;="&amp;($AK300-1))</f>
        <v>151.4</v>
      </c>
      <c r="AM300" s="14">
        <f>AM299+SUMIFS(Setting!$E$30:$E$39,Setting!$A$30:$A$39,AM$4,Setting!$C$30:$C$39,"&lt;="&amp;($AK300-1),Setting!$D$30:$D$39,"&gt;="&amp;($AK300-1))</f>
        <v>120.6</v>
      </c>
    </row>
    <row r="301" ht="15.75" customHeight="1">
      <c r="AK301" s="14">
        <v>296.0</v>
      </c>
      <c r="AL301" s="14">
        <f>AL300+SUMIFS(Setting!$E$30:$E$39,Setting!$A$30:$A$39,AL$4,Setting!$C$30:$C$39,"&lt;="&amp;($AK301-1),Setting!$D$30:$D$39,"&gt;="&amp;($AK301-1))</f>
        <v>151.6</v>
      </c>
      <c r="AM301" s="14">
        <f>AM300+SUMIFS(Setting!$E$30:$E$39,Setting!$A$30:$A$39,AM$4,Setting!$C$30:$C$39,"&lt;="&amp;($AK301-1),Setting!$D$30:$D$39,"&gt;="&amp;($AK301-1))</f>
        <v>120.8</v>
      </c>
    </row>
    <row r="302" ht="15.75" customHeight="1">
      <c r="AK302" s="14">
        <v>297.0</v>
      </c>
      <c r="AL302" s="14">
        <f>AL301+SUMIFS(Setting!$E$30:$E$39,Setting!$A$30:$A$39,AL$4,Setting!$C$30:$C$39,"&lt;="&amp;($AK302-1),Setting!$D$30:$D$39,"&gt;="&amp;($AK302-1))</f>
        <v>151.8</v>
      </c>
      <c r="AM302" s="14">
        <f>AM301+SUMIFS(Setting!$E$30:$E$39,Setting!$A$30:$A$39,AM$4,Setting!$C$30:$C$39,"&lt;="&amp;($AK302-1),Setting!$D$30:$D$39,"&gt;="&amp;($AK302-1))</f>
        <v>121</v>
      </c>
    </row>
    <row r="303" ht="15.75" customHeight="1">
      <c r="AK303" s="14">
        <v>298.0</v>
      </c>
      <c r="AL303" s="14">
        <f>AL302+SUMIFS(Setting!$E$30:$E$39,Setting!$A$30:$A$39,AL$4,Setting!$C$30:$C$39,"&lt;="&amp;($AK303-1),Setting!$D$30:$D$39,"&gt;="&amp;($AK303-1))</f>
        <v>152</v>
      </c>
      <c r="AM303" s="14">
        <f>AM302+SUMIFS(Setting!$E$30:$E$39,Setting!$A$30:$A$39,AM$4,Setting!$C$30:$C$39,"&lt;="&amp;($AK303-1),Setting!$D$30:$D$39,"&gt;="&amp;($AK303-1))</f>
        <v>121.2</v>
      </c>
    </row>
    <row r="304" ht="15.75" customHeight="1">
      <c r="AK304" s="14">
        <v>299.0</v>
      </c>
      <c r="AL304" s="14">
        <f>AL303+SUMIFS(Setting!$E$30:$E$39,Setting!$A$30:$A$39,AL$4,Setting!$C$30:$C$39,"&lt;="&amp;($AK304-1),Setting!$D$30:$D$39,"&gt;="&amp;($AK304-1))</f>
        <v>152.2</v>
      </c>
      <c r="AM304" s="14">
        <f>AM303+SUMIFS(Setting!$E$30:$E$39,Setting!$A$30:$A$39,AM$4,Setting!$C$30:$C$39,"&lt;="&amp;($AK304-1),Setting!$D$30:$D$39,"&gt;="&amp;($AK304-1))</f>
        <v>121.4</v>
      </c>
    </row>
    <row r="305" ht="15.75" customHeight="1">
      <c r="AK305" s="14">
        <v>300.0</v>
      </c>
      <c r="AL305" s="14">
        <f>AL304+SUMIFS(Setting!$E$30:$E$39,Setting!$A$30:$A$39,AL$4,Setting!$C$30:$C$39,"&lt;="&amp;($AK305-1),Setting!$D$30:$D$39,"&gt;="&amp;($AK305-1))</f>
        <v>152.4</v>
      </c>
      <c r="AM305" s="14">
        <f>AM304+SUMIFS(Setting!$E$30:$E$39,Setting!$A$30:$A$39,AM$4,Setting!$C$30:$C$39,"&lt;="&amp;($AK305-1),Setting!$D$30:$D$39,"&gt;="&amp;($AK305-1))</f>
        <v>121.6</v>
      </c>
    </row>
    <row r="306" ht="15.75" customHeight="1">
      <c r="AK306" s="14">
        <v>301.0</v>
      </c>
      <c r="AL306" s="14">
        <f>AL305+SUMIFS(Setting!$E$30:$E$39,Setting!$A$30:$A$39,AL$4,Setting!$C$30:$C$39,"&lt;="&amp;($AK306-1),Setting!$D$30:$D$39,"&gt;="&amp;($AK306-1))</f>
        <v>152.6</v>
      </c>
      <c r="AM306" s="14">
        <f>AM305+SUMIFS(Setting!$E$30:$E$39,Setting!$A$30:$A$39,AM$4,Setting!$C$30:$C$39,"&lt;="&amp;($AK306-1),Setting!$D$30:$D$39,"&gt;="&amp;($AK306-1))</f>
        <v>121.8</v>
      </c>
    </row>
    <row r="307" ht="15.75" customHeight="1">
      <c r="AK307" s="14">
        <v>302.0</v>
      </c>
      <c r="AL307" s="14">
        <f>AL306+SUMIFS(Setting!$E$30:$E$39,Setting!$A$30:$A$39,AL$4,Setting!$C$30:$C$39,"&lt;="&amp;($AK307-1),Setting!$D$30:$D$39,"&gt;="&amp;($AK307-1))</f>
        <v>152.8</v>
      </c>
      <c r="AM307" s="14">
        <f>AM306+SUMIFS(Setting!$E$30:$E$39,Setting!$A$30:$A$39,AM$4,Setting!$C$30:$C$39,"&lt;="&amp;($AK307-1),Setting!$D$30:$D$39,"&gt;="&amp;($AK307-1))</f>
        <v>122</v>
      </c>
    </row>
    <row r="308" ht="15.75" customHeight="1">
      <c r="AK308" s="14">
        <v>303.0</v>
      </c>
      <c r="AL308" s="14">
        <f>AL307+SUMIFS(Setting!$E$30:$E$39,Setting!$A$30:$A$39,AL$4,Setting!$C$30:$C$39,"&lt;="&amp;($AK308-1),Setting!$D$30:$D$39,"&gt;="&amp;($AK308-1))</f>
        <v>153</v>
      </c>
      <c r="AM308" s="14">
        <f>AM307+SUMIFS(Setting!$E$30:$E$39,Setting!$A$30:$A$39,AM$4,Setting!$C$30:$C$39,"&lt;="&amp;($AK308-1),Setting!$D$30:$D$39,"&gt;="&amp;($AK308-1))</f>
        <v>122.2</v>
      </c>
    </row>
    <row r="309" ht="15.75" customHeight="1">
      <c r="AK309" s="14">
        <v>304.0</v>
      </c>
      <c r="AL309" s="14">
        <f>AL308+SUMIFS(Setting!$E$30:$E$39,Setting!$A$30:$A$39,AL$4,Setting!$C$30:$C$39,"&lt;="&amp;($AK309-1),Setting!$D$30:$D$39,"&gt;="&amp;($AK309-1))</f>
        <v>153.2</v>
      </c>
      <c r="AM309" s="14">
        <f>AM308+SUMIFS(Setting!$E$30:$E$39,Setting!$A$30:$A$39,AM$4,Setting!$C$30:$C$39,"&lt;="&amp;($AK309-1),Setting!$D$30:$D$39,"&gt;="&amp;($AK309-1))</f>
        <v>122.4</v>
      </c>
    </row>
    <row r="310" ht="15.75" customHeight="1">
      <c r="AK310" s="14">
        <v>305.0</v>
      </c>
      <c r="AL310" s="14">
        <f>AL309+SUMIFS(Setting!$E$30:$E$39,Setting!$A$30:$A$39,AL$4,Setting!$C$30:$C$39,"&lt;="&amp;($AK310-1),Setting!$D$30:$D$39,"&gt;="&amp;($AK310-1))</f>
        <v>153.4</v>
      </c>
      <c r="AM310" s="14">
        <f>AM309+SUMIFS(Setting!$E$30:$E$39,Setting!$A$30:$A$39,AM$4,Setting!$C$30:$C$39,"&lt;="&amp;($AK310-1),Setting!$D$30:$D$39,"&gt;="&amp;($AK310-1))</f>
        <v>122.6</v>
      </c>
    </row>
    <row r="311" ht="15.75" customHeight="1">
      <c r="AK311" s="14">
        <v>306.0</v>
      </c>
      <c r="AL311" s="14">
        <f>AL310+SUMIFS(Setting!$E$30:$E$39,Setting!$A$30:$A$39,AL$4,Setting!$C$30:$C$39,"&lt;="&amp;($AK311-1),Setting!$D$30:$D$39,"&gt;="&amp;($AK311-1))</f>
        <v>153.6</v>
      </c>
      <c r="AM311" s="14">
        <f>AM310+SUMIFS(Setting!$E$30:$E$39,Setting!$A$30:$A$39,AM$4,Setting!$C$30:$C$39,"&lt;="&amp;($AK311-1),Setting!$D$30:$D$39,"&gt;="&amp;($AK311-1))</f>
        <v>122.8</v>
      </c>
    </row>
    <row r="312" ht="15.75" customHeight="1">
      <c r="AK312" s="14">
        <v>307.0</v>
      </c>
      <c r="AL312" s="14">
        <f>AL311+SUMIFS(Setting!$E$30:$E$39,Setting!$A$30:$A$39,AL$4,Setting!$C$30:$C$39,"&lt;="&amp;($AK312-1),Setting!$D$30:$D$39,"&gt;="&amp;($AK312-1))</f>
        <v>153.8</v>
      </c>
      <c r="AM312" s="14">
        <f>AM311+SUMIFS(Setting!$E$30:$E$39,Setting!$A$30:$A$39,AM$4,Setting!$C$30:$C$39,"&lt;="&amp;($AK312-1),Setting!$D$30:$D$39,"&gt;="&amp;($AK312-1))</f>
        <v>123</v>
      </c>
    </row>
    <row r="313" ht="15.75" customHeight="1">
      <c r="AK313" s="14">
        <v>308.0</v>
      </c>
      <c r="AL313" s="14">
        <f>AL312+SUMIFS(Setting!$E$30:$E$39,Setting!$A$30:$A$39,AL$4,Setting!$C$30:$C$39,"&lt;="&amp;($AK313-1),Setting!$D$30:$D$39,"&gt;="&amp;($AK313-1))</f>
        <v>154</v>
      </c>
      <c r="AM313" s="14">
        <f>AM312+SUMIFS(Setting!$E$30:$E$39,Setting!$A$30:$A$39,AM$4,Setting!$C$30:$C$39,"&lt;="&amp;($AK313-1),Setting!$D$30:$D$39,"&gt;="&amp;($AK313-1))</f>
        <v>123.2</v>
      </c>
    </row>
    <row r="314" ht="15.75" customHeight="1">
      <c r="AK314" s="14">
        <v>309.0</v>
      </c>
      <c r="AL314" s="14">
        <f>AL313+SUMIFS(Setting!$E$30:$E$39,Setting!$A$30:$A$39,AL$4,Setting!$C$30:$C$39,"&lt;="&amp;($AK314-1),Setting!$D$30:$D$39,"&gt;="&amp;($AK314-1))</f>
        <v>154.2</v>
      </c>
      <c r="AM314" s="14">
        <f>AM313+SUMIFS(Setting!$E$30:$E$39,Setting!$A$30:$A$39,AM$4,Setting!$C$30:$C$39,"&lt;="&amp;($AK314-1),Setting!$D$30:$D$39,"&gt;="&amp;($AK314-1))</f>
        <v>123.4</v>
      </c>
    </row>
    <row r="315" ht="15.75" customHeight="1">
      <c r="AK315" s="14">
        <v>310.0</v>
      </c>
      <c r="AL315" s="14">
        <f>AL314+SUMIFS(Setting!$E$30:$E$39,Setting!$A$30:$A$39,AL$4,Setting!$C$30:$C$39,"&lt;="&amp;($AK315-1),Setting!$D$30:$D$39,"&gt;="&amp;($AK315-1))</f>
        <v>154.4</v>
      </c>
      <c r="AM315" s="14">
        <f>AM314+SUMIFS(Setting!$E$30:$E$39,Setting!$A$30:$A$39,AM$4,Setting!$C$30:$C$39,"&lt;="&amp;($AK315-1),Setting!$D$30:$D$39,"&gt;="&amp;($AK315-1))</f>
        <v>123.6</v>
      </c>
    </row>
    <row r="316" ht="15.75" customHeight="1">
      <c r="AK316" s="14">
        <v>311.0</v>
      </c>
      <c r="AL316" s="14">
        <f>AL315+SUMIFS(Setting!$E$30:$E$39,Setting!$A$30:$A$39,AL$4,Setting!$C$30:$C$39,"&lt;="&amp;($AK316-1),Setting!$D$30:$D$39,"&gt;="&amp;($AK316-1))</f>
        <v>154.6</v>
      </c>
      <c r="AM316" s="14">
        <f>AM315+SUMIFS(Setting!$E$30:$E$39,Setting!$A$30:$A$39,AM$4,Setting!$C$30:$C$39,"&lt;="&amp;($AK316-1),Setting!$D$30:$D$39,"&gt;="&amp;($AK316-1))</f>
        <v>123.8</v>
      </c>
    </row>
    <row r="317" ht="15.75" customHeight="1">
      <c r="AK317" s="14">
        <v>312.0</v>
      </c>
      <c r="AL317" s="14">
        <f>AL316+SUMIFS(Setting!$E$30:$E$39,Setting!$A$30:$A$39,AL$4,Setting!$C$30:$C$39,"&lt;="&amp;($AK317-1),Setting!$D$30:$D$39,"&gt;="&amp;($AK317-1))</f>
        <v>154.8</v>
      </c>
      <c r="AM317" s="14">
        <f>AM316+SUMIFS(Setting!$E$30:$E$39,Setting!$A$30:$A$39,AM$4,Setting!$C$30:$C$39,"&lt;="&amp;($AK317-1),Setting!$D$30:$D$39,"&gt;="&amp;($AK317-1))</f>
        <v>124</v>
      </c>
    </row>
    <row r="318" ht="15.75" customHeight="1">
      <c r="AK318" s="14">
        <v>313.0</v>
      </c>
      <c r="AL318" s="14">
        <f>AL317+SUMIFS(Setting!$E$30:$E$39,Setting!$A$30:$A$39,AL$4,Setting!$C$30:$C$39,"&lt;="&amp;($AK318-1),Setting!$D$30:$D$39,"&gt;="&amp;($AK318-1))</f>
        <v>155</v>
      </c>
      <c r="AM318" s="14">
        <f>AM317+SUMIFS(Setting!$E$30:$E$39,Setting!$A$30:$A$39,AM$4,Setting!$C$30:$C$39,"&lt;="&amp;($AK318-1),Setting!$D$30:$D$39,"&gt;="&amp;($AK318-1))</f>
        <v>124.2</v>
      </c>
    </row>
    <row r="319" ht="15.75" customHeight="1">
      <c r="AK319" s="14">
        <v>314.0</v>
      </c>
      <c r="AL319" s="14">
        <f>AL318+SUMIFS(Setting!$E$30:$E$39,Setting!$A$30:$A$39,AL$4,Setting!$C$30:$C$39,"&lt;="&amp;($AK319-1),Setting!$D$30:$D$39,"&gt;="&amp;($AK319-1))</f>
        <v>155.2</v>
      </c>
      <c r="AM319" s="14">
        <f>AM318+SUMIFS(Setting!$E$30:$E$39,Setting!$A$30:$A$39,AM$4,Setting!$C$30:$C$39,"&lt;="&amp;($AK319-1),Setting!$D$30:$D$39,"&gt;="&amp;($AK319-1))</f>
        <v>124.4</v>
      </c>
    </row>
    <row r="320" ht="15.75" customHeight="1">
      <c r="AK320" s="14">
        <v>315.0</v>
      </c>
      <c r="AL320" s="14">
        <f>AL319+SUMIFS(Setting!$E$30:$E$39,Setting!$A$30:$A$39,AL$4,Setting!$C$30:$C$39,"&lt;="&amp;($AK320-1),Setting!$D$30:$D$39,"&gt;="&amp;($AK320-1))</f>
        <v>155.4</v>
      </c>
      <c r="AM320" s="14">
        <f>AM319+SUMIFS(Setting!$E$30:$E$39,Setting!$A$30:$A$39,AM$4,Setting!$C$30:$C$39,"&lt;="&amp;($AK320-1),Setting!$D$30:$D$39,"&gt;="&amp;($AK320-1))</f>
        <v>124.6</v>
      </c>
    </row>
    <row r="321" ht="15.75" customHeight="1">
      <c r="AK321" s="14">
        <v>316.0</v>
      </c>
      <c r="AL321" s="14">
        <f>AL320+SUMIFS(Setting!$E$30:$E$39,Setting!$A$30:$A$39,AL$4,Setting!$C$30:$C$39,"&lt;="&amp;($AK321-1),Setting!$D$30:$D$39,"&gt;="&amp;($AK321-1))</f>
        <v>155.6</v>
      </c>
      <c r="AM321" s="14">
        <f>AM320+SUMIFS(Setting!$E$30:$E$39,Setting!$A$30:$A$39,AM$4,Setting!$C$30:$C$39,"&lt;="&amp;($AK321-1),Setting!$D$30:$D$39,"&gt;="&amp;($AK321-1))</f>
        <v>124.8</v>
      </c>
    </row>
    <row r="322" ht="15.75" customHeight="1">
      <c r="AK322" s="14">
        <v>317.0</v>
      </c>
      <c r="AL322" s="14">
        <f>AL321+SUMIFS(Setting!$E$30:$E$39,Setting!$A$30:$A$39,AL$4,Setting!$C$30:$C$39,"&lt;="&amp;($AK322-1),Setting!$D$30:$D$39,"&gt;="&amp;($AK322-1))</f>
        <v>155.8</v>
      </c>
      <c r="AM322" s="14">
        <f>AM321+SUMIFS(Setting!$E$30:$E$39,Setting!$A$30:$A$39,AM$4,Setting!$C$30:$C$39,"&lt;="&amp;($AK322-1),Setting!$D$30:$D$39,"&gt;="&amp;($AK322-1))</f>
        <v>125</v>
      </c>
    </row>
    <row r="323" ht="15.75" customHeight="1">
      <c r="AK323" s="14">
        <v>318.0</v>
      </c>
      <c r="AL323" s="14">
        <f>AL322+SUMIFS(Setting!$E$30:$E$39,Setting!$A$30:$A$39,AL$4,Setting!$C$30:$C$39,"&lt;="&amp;($AK323-1),Setting!$D$30:$D$39,"&gt;="&amp;($AK323-1))</f>
        <v>156</v>
      </c>
      <c r="AM323" s="14">
        <f>AM322+SUMIFS(Setting!$E$30:$E$39,Setting!$A$30:$A$39,AM$4,Setting!$C$30:$C$39,"&lt;="&amp;($AK323-1),Setting!$D$30:$D$39,"&gt;="&amp;($AK323-1))</f>
        <v>125.2</v>
      </c>
    </row>
    <row r="324" ht="15.75" customHeight="1">
      <c r="AK324" s="14">
        <v>319.0</v>
      </c>
      <c r="AL324" s="14">
        <f>AL323+SUMIFS(Setting!$E$30:$E$39,Setting!$A$30:$A$39,AL$4,Setting!$C$30:$C$39,"&lt;="&amp;($AK324-1),Setting!$D$30:$D$39,"&gt;="&amp;($AK324-1))</f>
        <v>156.2</v>
      </c>
      <c r="AM324" s="14">
        <f>AM323+SUMIFS(Setting!$E$30:$E$39,Setting!$A$30:$A$39,AM$4,Setting!$C$30:$C$39,"&lt;="&amp;($AK324-1),Setting!$D$30:$D$39,"&gt;="&amp;($AK324-1))</f>
        <v>125.4</v>
      </c>
    </row>
    <row r="325" ht="15.75" customHeight="1">
      <c r="AK325" s="14">
        <v>320.0</v>
      </c>
      <c r="AL325" s="14">
        <f>AL324+SUMIFS(Setting!$E$30:$E$39,Setting!$A$30:$A$39,AL$4,Setting!$C$30:$C$39,"&lt;="&amp;($AK325-1),Setting!$D$30:$D$39,"&gt;="&amp;($AK325-1))</f>
        <v>156.4</v>
      </c>
      <c r="AM325" s="14">
        <f>AM324+SUMIFS(Setting!$E$30:$E$39,Setting!$A$30:$A$39,AM$4,Setting!$C$30:$C$39,"&lt;="&amp;($AK325-1),Setting!$D$30:$D$39,"&gt;="&amp;($AK325-1))</f>
        <v>125.6</v>
      </c>
    </row>
    <row r="326" ht="15.75" customHeight="1">
      <c r="AK326" s="14">
        <v>321.0</v>
      </c>
      <c r="AL326" s="14">
        <f>AL325+SUMIFS(Setting!$E$30:$E$39,Setting!$A$30:$A$39,AL$4,Setting!$C$30:$C$39,"&lt;="&amp;($AK326-1),Setting!$D$30:$D$39,"&gt;="&amp;($AK326-1))</f>
        <v>156.6</v>
      </c>
      <c r="AM326" s="14">
        <f>AM325+SUMIFS(Setting!$E$30:$E$39,Setting!$A$30:$A$39,AM$4,Setting!$C$30:$C$39,"&lt;="&amp;($AK326-1),Setting!$D$30:$D$39,"&gt;="&amp;($AK326-1))</f>
        <v>125.8</v>
      </c>
    </row>
    <row r="327" ht="15.75" customHeight="1">
      <c r="AK327" s="14">
        <v>322.0</v>
      </c>
      <c r="AL327" s="14">
        <f>AL326+SUMIFS(Setting!$E$30:$E$39,Setting!$A$30:$A$39,AL$4,Setting!$C$30:$C$39,"&lt;="&amp;($AK327-1),Setting!$D$30:$D$39,"&gt;="&amp;($AK327-1))</f>
        <v>156.8</v>
      </c>
      <c r="AM327" s="14">
        <f>AM326+SUMIFS(Setting!$E$30:$E$39,Setting!$A$30:$A$39,AM$4,Setting!$C$30:$C$39,"&lt;="&amp;($AK327-1),Setting!$D$30:$D$39,"&gt;="&amp;($AK327-1))</f>
        <v>126</v>
      </c>
    </row>
    <row r="328" ht="15.75" customHeight="1">
      <c r="AK328" s="14">
        <v>323.0</v>
      </c>
      <c r="AL328" s="14">
        <f>AL327+SUMIFS(Setting!$E$30:$E$39,Setting!$A$30:$A$39,AL$4,Setting!$C$30:$C$39,"&lt;="&amp;($AK328-1),Setting!$D$30:$D$39,"&gt;="&amp;($AK328-1))</f>
        <v>157</v>
      </c>
      <c r="AM328" s="14">
        <f>AM327+SUMIFS(Setting!$E$30:$E$39,Setting!$A$30:$A$39,AM$4,Setting!$C$30:$C$39,"&lt;="&amp;($AK328-1),Setting!$D$30:$D$39,"&gt;="&amp;($AK328-1))</f>
        <v>126.2</v>
      </c>
    </row>
    <row r="329" ht="15.75" customHeight="1">
      <c r="AK329" s="14">
        <v>324.0</v>
      </c>
      <c r="AL329" s="14">
        <f>AL328+SUMIFS(Setting!$E$30:$E$39,Setting!$A$30:$A$39,AL$4,Setting!$C$30:$C$39,"&lt;="&amp;($AK329-1),Setting!$D$30:$D$39,"&gt;="&amp;($AK329-1))</f>
        <v>157.2</v>
      </c>
      <c r="AM329" s="14">
        <f>AM328+SUMIFS(Setting!$E$30:$E$39,Setting!$A$30:$A$39,AM$4,Setting!$C$30:$C$39,"&lt;="&amp;($AK329-1),Setting!$D$30:$D$39,"&gt;="&amp;($AK329-1))</f>
        <v>126.4</v>
      </c>
    </row>
    <row r="330" ht="15.75" customHeight="1">
      <c r="AK330" s="14">
        <v>325.0</v>
      </c>
      <c r="AL330" s="14">
        <f>AL329+SUMIFS(Setting!$E$30:$E$39,Setting!$A$30:$A$39,AL$4,Setting!$C$30:$C$39,"&lt;="&amp;($AK330-1),Setting!$D$30:$D$39,"&gt;="&amp;($AK330-1))</f>
        <v>157.4</v>
      </c>
      <c r="AM330" s="14">
        <f>AM329+SUMIFS(Setting!$E$30:$E$39,Setting!$A$30:$A$39,AM$4,Setting!$C$30:$C$39,"&lt;="&amp;($AK330-1),Setting!$D$30:$D$39,"&gt;="&amp;($AK330-1))</f>
        <v>126.6</v>
      </c>
    </row>
    <row r="331" ht="15.75" customHeight="1">
      <c r="AK331" s="14">
        <v>326.0</v>
      </c>
      <c r="AL331" s="14">
        <f>AL330+SUMIFS(Setting!$E$30:$E$39,Setting!$A$30:$A$39,AL$4,Setting!$C$30:$C$39,"&lt;="&amp;($AK331-1),Setting!$D$30:$D$39,"&gt;="&amp;($AK331-1))</f>
        <v>157.6</v>
      </c>
      <c r="AM331" s="14">
        <f>AM330+SUMIFS(Setting!$E$30:$E$39,Setting!$A$30:$A$39,AM$4,Setting!$C$30:$C$39,"&lt;="&amp;($AK331-1),Setting!$D$30:$D$39,"&gt;="&amp;($AK331-1))</f>
        <v>126.8</v>
      </c>
    </row>
    <row r="332" ht="15.75" customHeight="1">
      <c r="AK332" s="14">
        <v>327.0</v>
      </c>
      <c r="AL332" s="14">
        <f>AL331+SUMIFS(Setting!$E$30:$E$39,Setting!$A$30:$A$39,AL$4,Setting!$C$30:$C$39,"&lt;="&amp;($AK332-1),Setting!$D$30:$D$39,"&gt;="&amp;($AK332-1))</f>
        <v>157.8</v>
      </c>
      <c r="AM332" s="14">
        <f>AM331+SUMIFS(Setting!$E$30:$E$39,Setting!$A$30:$A$39,AM$4,Setting!$C$30:$C$39,"&lt;="&amp;($AK332-1),Setting!$D$30:$D$39,"&gt;="&amp;($AK332-1))</f>
        <v>127</v>
      </c>
    </row>
    <row r="333" ht="15.75" customHeight="1">
      <c r="AK333" s="14">
        <v>328.0</v>
      </c>
      <c r="AL333" s="14">
        <f>AL332+SUMIFS(Setting!$E$30:$E$39,Setting!$A$30:$A$39,AL$4,Setting!$C$30:$C$39,"&lt;="&amp;($AK333-1),Setting!$D$30:$D$39,"&gt;="&amp;($AK333-1))</f>
        <v>158</v>
      </c>
      <c r="AM333" s="14">
        <f>AM332+SUMIFS(Setting!$E$30:$E$39,Setting!$A$30:$A$39,AM$4,Setting!$C$30:$C$39,"&lt;="&amp;($AK333-1),Setting!$D$30:$D$39,"&gt;="&amp;($AK333-1))</f>
        <v>127.2</v>
      </c>
    </row>
    <row r="334" ht="15.75" customHeight="1">
      <c r="AK334" s="14">
        <v>329.0</v>
      </c>
      <c r="AL334" s="14">
        <f>AL333+SUMIFS(Setting!$E$30:$E$39,Setting!$A$30:$A$39,AL$4,Setting!$C$30:$C$39,"&lt;="&amp;($AK334-1),Setting!$D$30:$D$39,"&gt;="&amp;($AK334-1))</f>
        <v>158.2</v>
      </c>
      <c r="AM334" s="14">
        <f>AM333+SUMIFS(Setting!$E$30:$E$39,Setting!$A$30:$A$39,AM$4,Setting!$C$30:$C$39,"&lt;="&amp;($AK334-1),Setting!$D$30:$D$39,"&gt;="&amp;($AK334-1))</f>
        <v>127.4</v>
      </c>
    </row>
    <row r="335" ht="15.75" customHeight="1">
      <c r="AK335" s="14">
        <v>330.0</v>
      </c>
      <c r="AL335" s="14">
        <f>AL334+SUMIFS(Setting!$E$30:$E$39,Setting!$A$30:$A$39,AL$4,Setting!$C$30:$C$39,"&lt;="&amp;($AK335-1),Setting!$D$30:$D$39,"&gt;="&amp;($AK335-1))</f>
        <v>158.4</v>
      </c>
      <c r="AM335" s="14">
        <f>AM334+SUMIFS(Setting!$E$30:$E$39,Setting!$A$30:$A$39,AM$4,Setting!$C$30:$C$39,"&lt;="&amp;($AK335-1),Setting!$D$30:$D$39,"&gt;="&amp;($AK335-1))</f>
        <v>127.6</v>
      </c>
    </row>
    <row r="336" ht="15.75" customHeight="1">
      <c r="AK336" s="14">
        <v>331.0</v>
      </c>
      <c r="AL336" s="14">
        <f>AL335+SUMIFS(Setting!$E$30:$E$39,Setting!$A$30:$A$39,AL$4,Setting!$C$30:$C$39,"&lt;="&amp;($AK336-1),Setting!$D$30:$D$39,"&gt;="&amp;($AK336-1))</f>
        <v>158.6</v>
      </c>
      <c r="AM336" s="14">
        <f>AM335+SUMIFS(Setting!$E$30:$E$39,Setting!$A$30:$A$39,AM$4,Setting!$C$30:$C$39,"&lt;="&amp;($AK336-1),Setting!$D$30:$D$39,"&gt;="&amp;($AK336-1))</f>
        <v>127.8</v>
      </c>
    </row>
    <row r="337" ht="15.75" customHeight="1">
      <c r="AK337" s="14">
        <v>332.0</v>
      </c>
      <c r="AL337" s="14">
        <f>AL336+SUMIFS(Setting!$E$30:$E$39,Setting!$A$30:$A$39,AL$4,Setting!$C$30:$C$39,"&lt;="&amp;($AK337-1),Setting!$D$30:$D$39,"&gt;="&amp;($AK337-1))</f>
        <v>158.8</v>
      </c>
      <c r="AM337" s="14">
        <f>AM336+SUMIFS(Setting!$E$30:$E$39,Setting!$A$30:$A$39,AM$4,Setting!$C$30:$C$39,"&lt;="&amp;($AK337-1),Setting!$D$30:$D$39,"&gt;="&amp;($AK337-1))</f>
        <v>128</v>
      </c>
    </row>
    <row r="338" ht="15.75" customHeight="1">
      <c r="AK338" s="14">
        <v>333.0</v>
      </c>
      <c r="AL338" s="14">
        <f>AL337+SUMIFS(Setting!$E$30:$E$39,Setting!$A$30:$A$39,AL$4,Setting!$C$30:$C$39,"&lt;="&amp;($AK338-1),Setting!$D$30:$D$39,"&gt;="&amp;($AK338-1))</f>
        <v>159</v>
      </c>
      <c r="AM338" s="14">
        <f>AM337+SUMIFS(Setting!$E$30:$E$39,Setting!$A$30:$A$39,AM$4,Setting!$C$30:$C$39,"&lt;="&amp;($AK338-1),Setting!$D$30:$D$39,"&gt;="&amp;($AK338-1))</f>
        <v>128.2</v>
      </c>
    </row>
    <row r="339" ht="15.75" customHeight="1">
      <c r="AK339" s="14">
        <v>334.0</v>
      </c>
      <c r="AL339" s="14">
        <f>AL338+SUMIFS(Setting!$E$30:$E$39,Setting!$A$30:$A$39,AL$4,Setting!$C$30:$C$39,"&lt;="&amp;($AK339-1),Setting!$D$30:$D$39,"&gt;="&amp;($AK339-1))</f>
        <v>159.2</v>
      </c>
      <c r="AM339" s="14">
        <f>AM338+SUMIFS(Setting!$E$30:$E$39,Setting!$A$30:$A$39,AM$4,Setting!$C$30:$C$39,"&lt;="&amp;($AK339-1),Setting!$D$30:$D$39,"&gt;="&amp;($AK339-1))</f>
        <v>128.4</v>
      </c>
    </row>
    <row r="340" ht="15.75" customHeight="1">
      <c r="AK340" s="14">
        <v>335.0</v>
      </c>
      <c r="AL340" s="14">
        <f>AL339+SUMIFS(Setting!$E$30:$E$39,Setting!$A$30:$A$39,AL$4,Setting!$C$30:$C$39,"&lt;="&amp;($AK340-1),Setting!$D$30:$D$39,"&gt;="&amp;($AK340-1))</f>
        <v>159.4</v>
      </c>
      <c r="AM340" s="14">
        <f>AM339+SUMIFS(Setting!$E$30:$E$39,Setting!$A$30:$A$39,AM$4,Setting!$C$30:$C$39,"&lt;="&amp;($AK340-1),Setting!$D$30:$D$39,"&gt;="&amp;($AK340-1))</f>
        <v>128.6</v>
      </c>
    </row>
    <row r="341" ht="15.75" customHeight="1">
      <c r="AK341" s="14">
        <v>336.0</v>
      </c>
      <c r="AL341" s="14">
        <f>AL340+SUMIFS(Setting!$E$30:$E$39,Setting!$A$30:$A$39,AL$4,Setting!$C$30:$C$39,"&lt;="&amp;($AK341-1),Setting!$D$30:$D$39,"&gt;="&amp;($AK341-1))</f>
        <v>159.6</v>
      </c>
      <c r="AM341" s="14">
        <f>AM340+SUMIFS(Setting!$E$30:$E$39,Setting!$A$30:$A$39,AM$4,Setting!$C$30:$C$39,"&lt;="&amp;($AK341-1),Setting!$D$30:$D$39,"&gt;="&amp;($AK341-1))</f>
        <v>128.8</v>
      </c>
    </row>
    <row r="342" ht="15.75" customHeight="1">
      <c r="AK342" s="14">
        <v>337.0</v>
      </c>
      <c r="AL342" s="14">
        <f>AL341+SUMIFS(Setting!$E$30:$E$39,Setting!$A$30:$A$39,AL$4,Setting!$C$30:$C$39,"&lt;="&amp;($AK342-1),Setting!$D$30:$D$39,"&gt;="&amp;($AK342-1))</f>
        <v>159.8</v>
      </c>
      <c r="AM342" s="14">
        <f>AM341+SUMIFS(Setting!$E$30:$E$39,Setting!$A$30:$A$39,AM$4,Setting!$C$30:$C$39,"&lt;="&amp;($AK342-1),Setting!$D$30:$D$39,"&gt;="&amp;($AK342-1))</f>
        <v>129</v>
      </c>
    </row>
    <row r="343" ht="15.75" customHeight="1">
      <c r="AK343" s="14">
        <v>338.0</v>
      </c>
      <c r="AL343" s="14">
        <f>AL342+SUMIFS(Setting!$E$30:$E$39,Setting!$A$30:$A$39,AL$4,Setting!$C$30:$C$39,"&lt;="&amp;($AK343-1),Setting!$D$30:$D$39,"&gt;="&amp;($AK343-1))</f>
        <v>160</v>
      </c>
      <c r="AM343" s="14">
        <f>AM342+SUMIFS(Setting!$E$30:$E$39,Setting!$A$30:$A$39,AM$4,Setting!$C$30:$C$39,"&lt;="&amp;($AK343-1),Setting!$D$30:$D$39,"&gt;="&amp;($AK343-1))</f>
        <v>129.2</v>
      </c>
    </row>
    <row r="344" ht="15.75" customHeight="1">
      <c r="AK344" s="14">
        <v>339.0</v>
      </c>
      <c r="AL344" s="14">
        <f>AL343+SUMIFS(Setting!$E$30:$E$39,Setting!$A$30:$A$39,AL$4,Setting!$C$30:$C$39,"&lt;="&amp;($AK344-1),Setting!$D$30:$D$39,"&gt;="&amp;($AK344-1))</f>
        <v>160.2</v>
      </c>
      <c r="AM344" s="14">
        <f>AM343+SUMIFS(Setting!$E$30:$E$39,Setting!$A$30:$A$39,AM$4,Setting!$C$30:$C$39,"&lt;="&amp;($AK344-1),Setting!$D$30:$D$39,"&gt;="&amp;($AK344-1))</f>
        <v>129.4</v>
      </c>
    </row>
    <row r="345" ht="15.75" customHeight="1">
      <c r="AK345" s="14">
        <v>340.0</v>
      </c>
      <c r="AL345" s="14">
        <f>AL344+SUMIFS(Setting!$E$30:$E$39,Setting!$A$30:$A$39,AL$4,Setting!$C$30:$C$39,"&lt;="&amp;($AK345-1),Setting!$D$30:$D$39,"&gt;="&amp;($AK345-1))</f>
        <v>160.4</v>
      </c>
      <c r="AM345" s="14">
        <f>AM344+SUMIFS(Setting!$E$30:$E$39,Setting!$A$30:$A$39,AM$4,Setting!$C$30:$C$39,"&lt;="&amp;($AK345-1),Setting!$D$30:$D$39,"&gt;="&amp;($AK345-1))</f>
        <v>129.6</v>
      </c>
    </row>
    <row r="346" ht="15.75" customHeight="1">
      <c r="AK346" s="14">
        <v>341.0</v>
      </c>
      <c r="AL346" s="14">
        <f>AL345+SUMIFS(Setting!$E$30:$E$39,Setting!$A$30:$A$39,AL$4,Setting!$C$30:$C$39,"&lt;="&amp;($AK346-1),Setting!$D$30:$D$39,"&gt;="&amp;($AK346-1))</f>
        <v>160.6</v>
      </c>
      <c r="AM346" s="14">
        <f>AM345+SUMIFS(Setting!$E$30:$E$39,Setting!$A$30:$A$39,AM$4,Setting!$C$30:$C$39,"&lt;="&amp;($AK346-1),Setting!$D$30:$D$39,"&gt;="&amp;($AK346-1))</f>
        <v>129.8</v>
      </c>
    </row>
    <row r="347" ht="15.75" customHeight="1">
      <c r="AK347" s="14">
        <v>342.0</v>
      </c>
      <c r="AL347" s="14">
        <f>AL346+SUMIFS(Setting!$E$30:$E$39,Setting!$A$30:$A$39,AL$4,Setting!$C$30:$C$39,"&lt;="&amp;($AK347-1),Setting!$D$30:$D$39,"&gt;="&amp;($AK347-1))</f>
        <v>160.8</v>
      </c>
      <c r="AM347" s="14">
        <f>AM346+SUMIFS(Setting!$E$30:$E$39,Setting!$A$30:$A$39,AM$4,Setting!$C$30:$C$39,"&lt;="&amp;($AK347-1),Setting!$D$30:$D$39,"&gt;="&amp;($AK347-1))</f>
        <v>130</v>
      </c>
    </row>
    <row r="348" ht="15.75" customHeight="1">
      <c r="AK348" s="14">
        <v>343.0</v>
      </c>
      <c r="AL348" s="14">
        <f>AL347+SUMIFS(Setting!$E$30:$E$39,Setting!$A$30:$A$39,AL$4,Setting!$C$30:$C$39,"&lt;="&amp;($AK348-1),Setting!$D$30:$D$39,"&gt;="&amp;($AK348-1))</f>
        <v>161</v>
      </c>
      <c r="AM348" s="14">
        <f>AM347+SUMIFS(Setting!$E$30:$E$39,Setting!$A$30:$A$39,AM$4,Setting!$C$30:$C$39,"&lt;="&amp;($AK348-1),Setting!$D$30:$D$39,"&gt;="&amp;($AK348-1))</f>
        <v>130.2</v>
      </c>
    </row>
    <row r="349" ht="15.75" customHeight="1">
      <c r="AK349" s="14">
        <v>344.0</v>
      </c>
      <c r="AL349" s="14">
        <f>AL348+SUMIFS(Setting!$E$30:$E$39,Setting!$A$30:$A$39,AL$4,Setting!$C$30:$C$39,"&lt;="&amp;($AK349-1),Setting!$D$30:$D$39,"&gt;="&amp;($AK349-1))</f>
        <v>161.2</v>
      </c>
      <c r="AM349" s="14">
        <f>AM348+SUMIFS(Setting!$E$30:$E$39,Setting!$A$30:$A$39,AM$4,Setting!$C$30:$C$39,"&lt;="&amp;($AK349-1),Setting!$D$30:$D$39,"&gt;="&amp;($AK349-1))</f>
        <v>130.4</v>
      </c>
    </row>
    <row r="350" ht="15.75" customHeight="1">
      <c r="AK350" s="14">
        <v>345.0</v>
      </c>
      <c r="AL350" s="14">
        <f>AL349+SUMIFS(Setting!$E$30:$E$39,Setting!$A$30:$A$39,AL$4,Setting!$C$30:$C$39,"&lt;="&amp;($AK350-1),Setting!$D$30:$D$39,"&gt;="&amp;($AK350-1))</f>
        <v>161.4</v>
      </c>
      <c r="AM350" s="14">
        <f>AM349+SUMIFS(Setting!$E$30:$E$39,Setting!$A$30:$A$39,AM$4,Setting!$C$30:$C$39,"&lt;="&amp;($AK350-1),Setting!$D$30:$D$39,"&gt;="&amp;($AK350-1))</f>
        <v>130.6</v>
      </c>
    </row>
    <row r="351" ht="15.75" customHeight="1">
      <c r="AK351" s="14">
        <v>346.0</v>
      </c>
      <c r="AL351" s="14">
        <f>AL350+SUMIFS(Setting!$E$30:$E$39,Setting!$A$30:$A$39,AL$4,Setting!$C$30:$C$39,"&lt;="&amp;($AK351-1),Setting!$D$30:$D$39,"&gt;="&amp;($AK351-1))</f>
        <v>161.6</v>
      </c>
      <c r="AM351" s="14">
        <f>AM350+SUMIFS(Setting!$E$30:$E$39,Setting!$A$30:$A$39,AM$4,Setting!$C$30:$C$39,"&lt;="&amp;($AK351-1),Setting!$D$30:$D$39,"&gt;="&amp;($AK351-1))</f>
        <v>130.8</v>
      </c>
    </row>
    <row r="352" ht="15.75" customHeight="1">
      <c r="AK352" s="14">
        <v>347.0</v>
      </c>
      <c r="AL352" s="14">
        <f>AL351+SUMIFS(Setting!$E$30:$E$39,Setting!$A$30:$A$39,AL$4,Setting!$C$30:$C$39,"&lt;="&amp;($AK352-1),Setting!$D$30:$D$39,"&gt;="&amp;($AK352-1))</f>
        <v>161.8</v>
      </c>
      <c r="AM352" s="14">
        <f>AM351+SUMIFS(Setting!$E$30:$E$39,Setting!$A$30:$A$39,AM$4,Setting!$C$30:$C$39,"&lt;="&amp;($AK352-1),Setting!$D$30:$D$39,"&gt;="&amp;($AK352-1))</f>
        <v>131</v>
      </c>
    </row>
    <row r="353" ht="15.75" customHeight="1">
      <c r="AK353" s="14">
        <v>348.0</v>
      </c>
      <c r="AL353" s="14">
        <f>AL352+SUMIFS(Setting!$E$30:$E$39,Setting!$A$30:$A$39,AL$4,Setting!$C$30:$C$39,"&lt;="&amp;($AK353-1),Setting!$D$30:$D$39,"&gt;="&amp;($AK353-1))</f>
        <v>162</v>
      </c>
      <c r="AM353" s="14">
        <f>AM352+SUMIFS(Setting!$E$30:$E$39,Setting!$A$30:$A$39,AM$4,Setting!$C$30:$C$39,"&lt;="&amp;($AK353-1),Setting!$D$30:$D$39,"&gt;="&amp;($AK353-1))</f>
        <v>131.2</v>
      </c>
    </row>
    <row r="354" ht="15.75" customHeight="1">
      <c r="AK354" s="14">
        <v>349.0</v>
      </c>
      <c r="AL354" s="14">
        <f>AL353+SUMIFS(Setting!$E$30:$E$39,Setting!$A$30:$A$39,AL$4,Setting!$C$30:$C$39,"&lt;="&amp;($AK354-1),Setting!$D$30:$D$39,"&gt;="&amp;($AK354-1))</f>
        <v>162.2</v>
      </c>
      <c r="AM354" s="14">
        <f>AM353+SUMIFS(Setting!$E$30:$E$39,Setting!$A$30:$A$39,AM$4,Setting!$C$30:$C$39,"&lt;="&amp;($AK354-1),Setting!$D$30:$D$39,"&gt;="&amp;($AK354-1))</f>
        <v>131.4</v>
      </c>
    </row>
    <row r="355" ht="15.75" customHeight="1">
      <c r="AK355" s="14">
        <v>350.0</v>
      </c>
      <c r="AL355" s="14">
        <f>AL354+SUMIFS(Setting!$E$30:$E$39,Setting!$A$30:$A$39,AL$4,Setting!$C$30:$C$39,"&lt;="&amp;($AK355-1),Setting!$D$30:$D$39,"&gt;="&amp;($AK355-1))</f>
        <v>162.4</v>
      </c>
      <c r="AM355" s="14">
        <f>AM354+SUMIFS(Setting!$E$30:$E$39,Setting!$A$30:$A$39,AM$4,Setting!$C$30:$C$39,"&lt;="&amp;($AK355-1),Setting!$D$30:$D$39,"&gt;="&amp;($AK355-1))</f>
        <v>131.6</v>
      </c>
    </row>
    <row r="356" ht="15.75" customHeight="1">
      <c r="AK356" s="14">
        <v>351.0</v>
      </c>
      <c r="AL356" s="14">
        <f>AL355+SUMIFS(Setting!$E$30:$E$39,Setting!$A$30:$A$39,AL$4,Setting!$C$30:$C$39,"&lt;="&amp;($AK356-1),Setting!$D$30:$D$39,"&gt;="&amp;($AK356-1))</f>
        <v>162.6</v>
      </c>
      <c r="AM356" s="14">
        <f>AM355+SUMIFS(Setting!$E$30:$E$39,Setting!$A$30:$A$39,AM$4,Setting!$C$30:$C$39,"&lt;="&amp;($AK356-1),Setting!$D$30:$D$39,"&gt;="&amp;($AK356-1))</f>
        <v>131.8</v>
      </c>
    </row>
    <row r="357" ht="15.75" customHeight="1">
      <c r="AK357" s="14">
        <v>352.0</v>
      </c>
      <c r="AL357" s="14">
        <f>AL356+SUMIFS(Setting!$E$30:$E$39,Setting!$A$30:$A$39,AL$4,Setting!$C$30:$C$39,"&lt;="&amp;($AK357-1),Setting!$D$30:$D$39,"&gt;="&amp;($AK357-1))</f>
        <v>162.8</v>
      </c>
      <c r="AM357" s="14">
        <f>AM356+SUMIFS(Setting!$E$30:$E$39,Setting!$A$30:$A$39,AM$4,Setting!$C$30:$C$39,"&lt;="&amp;($AK357-1),Setting!$D$30:$D$39,"&gt;="&amp;($AK357-1))</f>
        <v>132</v>
      </c>
    </row>
    <row r="358" ht="15.75" customHeight="1">
      <c r="AK358" s="14">
        <v>353.0</v>
      </c>
      <c r="AL358" s="14">
        <f>AL357+SUMIFS(Setting!$E$30:$E$39,Setting!$A$30:$A$39,AL$4,Setting!$C$30:$C$39,"&lt;="&amp;($AK358-1),Setting!$D$30:$D$39,"&gt;="&amp;($AK358-1))</f>
        <v>163</v>
      </c>
      <c r="AM358" s="14">
        <f>AM357+SUMIFS(Setting!$E$30:$E$39,Setting!$A$30:$A$39,AM$4,Setting!$C$30:$C$39,"&lt;="&amp;($AK358-1),Setting!$D$30:$D$39,"&gt;="&amp;($AK358-1))</f>
        <v>132.2</v>
      </c>
    </row>
    <row r="359" ht="15.75" customHeight="1">
      <c r="AK359" s="14">
        <v>354.0</v>
      </c>
      <c r="AL359" s="14">
        <f>AL358+SUMIFS(Setting!$E$30:$E$39,Setting!$A$30:$A$39,AL$4,Setting!$C$30:$C$39,"&lt;="&amp;($AK359-1),Setting!$D$30:$D$39,"&gt;="&amp;($AK359-1))</f>
        <v>163.2</v>
      </c>
      <c r="AM359" s="14">
        <f>AM358+SUMIFS(Setting!$E$30:$E$39,Setting!$A$30:$A$39,AM$4,Setting!$C$30:$C$39,"&lt;="&amp;($AK359-1),Setting!$D$30:$D$39,"&gt;="&amp;($AK359-1))</f>
        <v>132.4</v>
      </c>
    </row>
    <row r="360" ht="15.75" customHeight="1">
      <c r="AK360" s="14">
        <v>355.0</v>
      </c>
      <c r="AL360" s="14">
        <f>AL359+SUMIFS(Setting!$E$30:$E$39,Setting!$A$30:$A$39,AL$4,Setting!$C$30:$C$39,"&lt;="&amp;($AK360-1),Setting!$D$30:$D$39,"&gt;="&amp;($AK360-1))</f>
        <v>163.4</v>
      </c>
      <c r="AM360" s="14">
        <f>AM359+SUMIFS(Setting!$E$30:$E$39,Setting!$A$30:$A$39,AM$4,Setting!$C$30:$C$39,"&lt;="&amp;($AK360-1),Setting!$D$30:$D$39,"&gt;="&amp;($AK360-1))</f>
        <v>132.6</v>
      </c>
    </row>
    <row r="361" ht="15.75" customHeight="1">
      <c r="AK361" s="14">
        <v>356.0</v>
      </c>
      <c r="AL361" s="14">
        <f>AL360+SUMIFS(Setting!$E$30:$E$39,Setting!$A$30:$A$39,AL$4,Setting!$C$30:$C$39,"&lt;="&amp;($AK361-1),Setting!$D$30:$D$39,"&gt;="&amp;($AK361-1))</f>
        <v>163.6</v>
      </c>
      <c r="AM361" s="14">
        <f>AM360+SUMIFS(Setting!$E$30:$E$39,Setting!$A$30:$A$39,AM$4,Setting!$C$30:$C$39,"&lt;="&amp;($AK361-1),Setting!$D$30:$D$39,"&gt;="&amp;($AK361-1))</f>
        <v>132.8</v>
      </c>
    </row>
    <row r="362" ht="15.75" customHeight="1">
      <c r="AK362" s="14">
        <v>357.0</v>
      </c>
      <c r="AL362" s="14">
        <f>AL361+SUMIFS(Setting!$E$30:$E$39,Setting!$A$30:$A$39,AL$4,Setting!$C$30:$C$39,"&lt;="&amp;($AK362-1),Setting!$D$30:$D$39,"&gt;="&amp;($AK362-1))</f>
        <v>163.8</v>
      </c>
      <c r="AM362" s="14">
        <f>AM361+SUMIFS(Setting!$E$30:$E$39,Setting!$A$30:$A$39,AM$4,Setting!$C$30:$C$39,"&lt;="&amp;($AK362-1),Setting!$D$30:$D$39,"&gt;="&amp;($AK362-1))</f>
        <v>133</v>
      </c>
    </row>
    <row r="363" ht="15.75" customHeight="1">
      <c r="AK363" s="14">
        <v>358.0</v>
      </c>
      <c r="AL363" s="14">
        <f>AL362+SUMIFS(Setting!$E$30:$E$39,Setting!$A$30:$A$39,AL$4,Setting!$C$30:$C$39,"&lt;="&amp;($AK363-1),Setting!$D$30:$D$39,"&gt;="&amp;($AK363-1))</f>
        <v>164</v>
      </c>
      <c r="AM363" s="14">
        <f>AM362+SUMIFS(Setting!$E$30:$E$39,Setting!$A$30:$A$39,AM$4,Setting!$C$30:$C$39,"&lt;="&amp;($AK363-1),Setting!$D$30:$D$39,"&gt;="&amp;($AK363-1))</f>
        <v>133.2</v>
      </c>
    </row>
    <row r="364" ht="15.75" customHeight="1">
      <c r="AK364" s="14">
        <v>359.0</v>
      </c>
      <c r="AL364" s="14">
        <f>AL363+SUMIFS(Setting!$E$30:$E$39,Setting!$A$30:$A$39,AL$4,Setting!$C$30:$C$39,"&lt;="&amp;($AK364-1),Setting!$D$30:$D$39,"&gt;="&amp;($AK364-1))</f>
        <v>164.2</v>
      </c>
      <c r="AM364" s="14">
        <f>AM363+SUMIFS(Setting!$E$30:$E$39,Setting!$A$30:$A$39,AM$4,Setting!$C$30:$C$39,"&lt;="&amp;($AK364-1),Setting!$D$30:$D$39,"&gt;="&amp;($AK364-1))</f>
        <v>133.4</v>
      </c>
    </row>
    <row r="365" ht="15.75" customHeight="1">
      <c r="AK365" s="14">
        <v>360.0</v>
      </c>
      <c r="AL365" s="14">
        <f>AL364+SUMIFS(Setting!$E$30:$E$39,Setting!$A$30:$A$39,AL$4,Setting!$C$30:$C$39,"&lt;="&amp;($AK365-1),Setting!$D$30:$D$39,"&gt;="&amp;($AK365-1))</f>
        <v>164.4</v>
      </c>
      <c r="AM365" s="14">
        <f>AM364+SUMIFS(Setting!$E$30:$E$39,Setting!$A$30:$A$39,AM$4,Setting!$C$30:$C$39,"&lt;="&amp;($AK365-1),Setting!$D$30:$D$39,"&gt;="&amp;($AK365-1))</f>
        <v>133.6</v>
      </c>
    </row>
    <row r="366" ht="15.75" customHeight="1">
      <c r="AK366" s="14">
        <v>361.0</v>
      </c>
      <c r="AL366" s="14">
        <f>AL365+SUMIFS(Setting!$E$30:$E$39,Setting!$A$30:$A$39,AL$4,Setting!$C$30:$C$39,"&lt;="&amp;($AK366-1),Setting!$D$30:$D$39,"&gt;="&amp;($AK366-1))</f>
        <v>164.6</v>
      </c>
      <c r="AM366" s="14">
        <f>AM365+SUMIFS(Setting!$E$30:$E$39,Setting!$A$30:$A$39,AM$4,Setting!$C$30:$C$39,"&lt;="&amp;($AK366-1),Setting!$D$30:$D$39,"&gt;="&amp;($AK366-1))</f>
        <v>133.8</v>
      </c>
    </row>
    <row r="367" ht="15.75" customHeight="1">
      <c r="AK367" s="14">
        <v>362.0</v>
      </c>
      <c r="AL367" s="14">
        <f>AL366+SUMIFS(Setting!$E$30:$E$39,Setting!$A$30:$A$39,AL$4,Setting!$C$30:$C$39,"&lt;="&amp;($AK367-1),Setting!$D$30:$D$39,"&gt;="&amp;($AK367-1))</f>
        <v>164.8</v>
      </c>
      <c r="AM367" s="14">
        <f>AM366+SUMIFS(Setting!$E$30:$E$39,Setting!$A$30:$A$39,AM$4,Setting!$C$30:$C$39,"&lt;="&amp;($AK367-1),Setting!$D$30:$D$39,"&gt;="&amp;($AK367-1))</f>
        <v>134</v>
      </c>
    </row>
    <row r="368" ht="15.75" customHeight="1">
      <c r="AK368" s="14">
        <v>363.0</v>
      </c>
      <c r="AL368" s="14">
        <f>AL367+SUMIFS(Setting!$E$30:$E$39,Setting!$A$30:$A$39,AL$4,Setting!$C$30:$C$39,"&lt;="&amp;($AK368-1),Setting!$D$30:$D$39,"&gt;="&amp;($AK368-1))</f>
        <v>165</v>
      </c>
      <c r="AM368" s="14">
        <f>AM367+SUMIFS(Setting!$E$30:$E$39,Setting!$A$30:$A$39,AM$4,Setting!$C$30:$C$39,"&lt;="&amp;($AK368-1),Setting!$D$30:$D$39,"&gt;="&amp;($AK368-1))</f>
        <v>134.2</v>
      </c>
    </row>
    <row r="369" ht="15.75" customHeight="1">
      <c r="AK369" s="14">
        <v>364.0</v>
      </c>
      <c r="AL369" s="14">
        <f>AL368+SUMIFS(Setting!$E$30:$E$39,Setting!$A$30:$A$39,AL$4,Setting!$C$30:$C$39,"&lt;="&amp;($AK369-1),Setting!$D$30:$D$39,"&gt;="&amp;($AK369-1))</f>
        <v>165.2</v>
      </c>
      <c r="AM369" s="14">
        <f>AM368+SUMIFS(Setting!$E$30:$E$39,Setting!$A$30:$A$39,AM$4,Setting!$C$30:$C$39,"&lt;="&amp;($AK369-1),Setting!$D$30:$D$39,"&gt;="&amp;($AK369-1))</f>
        <v>134.4</v>
      </c>
    </row>
    <row r="370" ht="15.75" customHeight="1">
      <c r="AK370" s="14">
        <v>365.0</v>
      </c>
      <c r="AL370" s="14">
        <f>AL369+SUMIFS(Setting!$E$30:$E$39,Setting!$A$30:$A$39,AL$4,Setting!$C$30:$C$39,"&lt;="&amp;($AK370-1),Setting!$D$30:$D$39,"&gt;="&amp;($AK370-1))</f>
        <v>165.4</v>
      </c>
      <c r="AM370" s="14">
        <f>AM369+SUMIFS(Setting!$E$30:$E$39,Setting!$A$30:$A$39,AM$4,Setting!$C$30:$C$39,"&lt;="&amp;($AK370-1),Setting!$D$30:$D$39,"&gt;="&amp;($AK370-1))</f>
        <v>134.6</v>
      </c>
    </row>
    <row r="371" ht="15.75" customHeight="1">
      <c r="AK371" s="14">
        <v>366.0</v>
      </c>
      <c r="AL371" s="14">
        <f>AL370+SUMIFS(Setting!$E$30:$E$39,Setting!$A$30:$A$39,AL$4,Setting!$C$30:$C$39,"&lt;="&amp;($AK371-1),Setting!$D$30:$D$39,"&gt;="&amp;($AK371-1))</f>
        <v>165.6</v>
      </c>
      <c r="AM371" s="14">
        <f>AM370+SUMIFS(Setting!$E$30:$E$39,Setting!$A$30:$A$39,AM$4,Setting!$C$30:$C$39,"&lt;="&amp;($AK371-1),Setting!$D$30:$D$39,"&gt;="&amp;($AK371-1))</f>
        <v>134.8</v>
      </c>
    </row>
    <row r="372" ht="15.75" customHeight="1">
      <c r="AK372" s="14">
        <v>367.0</v>
      </c>
      <c r="AL372" s="14">
        <f>AL371+SUMIFS(Setting!$E$30:$E$39,Setting!$A$30:$A$39,AL$4,Setting!$C$30:$C$39,"&lt;="&amp;($AK372-1),Setting!$D$30:$D$39,"&gt;="&amp;($AK372-1))</f>
        <v>165.8</v>
      </c>
      <c r="AM372" s="14">
        <f>AM371+SUMIFS(Setting!$E$30:$E$39,Setting!$A$30:$A$39,AM$4,Setting!$C$30:$C$39,"&lt;="&amp;($AK372-1),Setting!$D$30:$D$39,"&gt;="&amp;($AK372-1))</f>
        <v>135</v>
      </c>
    </row>
    <row r="373" ht="15.75" customHeight="1">
      <c r="AK373" s="14">
        <v>368.0</v>
      </c>
      <c r="AL373" s="14">
        <f>AL372+SUMIFS(Setting!$E$30:$E$39,Setting!$A$30:$A$39,AL$4,Setting!$C$30:$C$39,"&lt;="&amp;($AK373-1),Setting!$D$30:$D$39,"&gt;="&amp;($AK373-1))</f>
        <v>166</v>
      </c>
      <c r="AM373" s="14">
        <f>AM372+SUMIFS(Setting!$E$30:$E$39,Setting!$A$30:$A$39,AM$4,Setting!$C$30:$C$39,"&lt;="&amp;($AK373-1),Setting!$D$30:$D$39,"&gt;="&amp;($AK373-1))</f>
        <v>135.2</v>
      </c>
    </row>
    <row r="374" ht="15.75" customHeight="1">
      <c r="AK374" s="14">
        <v>369.0</v>
      </c>
      <c r="AL374" s="14">
        <f>AL373+SUMIFS(Setting!$E$30:$E$39,Setting!$A$30:$A$39,AL$4,Setting!$C$30:$C$39,"&lt;="&amp;($AK374-1),Setting!$D$30:$D$39,"&gt;="&amp;($AK374-1))</f>
        <v>166.2</v>
      </c>
      <c r="AM374" s="14">
        <f>AM373+SUMIFS(Setting!$E$30:$E$39,Setting!$A$30:$A$39,AM$4,Setting!$C$30:$C$39,"&lt;="&amp;($AK374-1),Setting!$D$30:$D$39,"&gt;="&amp;($AK374-1))</f>
        <v>135.4</v>
      </c>
    </row>
    <row r="375" ht="15.75" customHeight="1">
      <c r="AK375" s="14">
        <v>370.0</v>
      </c>
      <c r="AL375" s="14">
        <f>AL374+SUMIFS(Setting!$E$30:$E$39,Setting!$A$30:$A$39,AL$4,Setting!$C$30:$C$39,"&lt;="&amp;($AK375-1),Setting!$D$30:$D$39,"&gt;="&amp;($AK375-1))</f>
        <v>166.4</v>
      </c>
      <c r="AM375" s="14">
        <f>AM374+SUMIFS(Setting!$E$30:$E$39,Setting!$A$30:$A$39,AM$4,Setting!$C$30:$C$39,"&lt;="&amp;($AK375-1),Setting!$D$30:$D$39,"&gt;="&amp;($AK375-1))</f>
        <v>135.6</v>
      </c>
    </row>
    <row r="376" ht="15.75" customHeight="1">
      <c r="AK376" s="14">
        <v>371.0</v>
      </c>
      <c r="AL376" s="14">
        <f>AL375+SUMIFS(Setting!$E$30:$E$39,Setting!$A$30:$A$39,AL$4,Setting!$C$30:$C$39,"&lt;="&amp;($AK376-1),Setting!$D$30:$D$39,"&gt;="&amp;($AK376-1))</f>
        <v>166.6</v>
      </c>
      <c r="AM376" s="14">
        <f>AM375+SUMIFS(Setting!$E$30:$E$39,Setting!$A$30:$A$39,AM$4,Setting!$C$30:$C$39,"&lt;="&amp;($AK376-1),Setting!$D$30:$D$39,"&gt;="&amp;($AK376-1))</f>
        <v>135.8</v>
      </c>
    </row>
    <row r="377" ht="15.75" customHeight="1">
      <c r="AK377" s="14">
        <v>372.0</v>
      </c>
      <c r="AL377" s="14">
        <f>AL376+SUMIFS(Setting!$E$30:$E$39,Setting!$A$30:$A$39,AL$4,Setting!$C$30:$C$39,"&lt;="&amp;($AK377-1),Setting!$D$30:$D$39,"&gt;="&amp;($AK377-1))</f>
        <v>166.8</v>
      </c>
      <c r="AM377" s="14">
        <f>AM376+SUMIFS(Setting!$E$30:$E$39,Setting!$A$30:$A$39,AM$4,Setting!$C$30:$C$39,"&lt;="&amp;($AK377-1),Setting!$D$30:$D$39,"&gt;="&amp;($AK377-1))</f>
        <v>136</v>
      </c>
    </row>
    <row r="378" ht="15.75" customHeight="1">
      <c r="AK378" s="14">
        <v>373.0</v>
      </c>
      <c r="AL378" s="14">
        <f>AL377+SUMIFS(Setting!$E$30:$E$39,Setting!$A$30:$A$39,AL$4,Setting!$C$30:$C$39,"&lt;="&amp;($AK378-1),Setting!$D$30:$D$39,"&gt;="&amp;($AK378-1))</f>
        <v>167</v>
      </c>
      <c r="AM378" s="14">
        <f>AM377+SUMIFS(Setting!$E$30:$E$39,Setting!$A$30:$A$39,AM$4,Setting!$C$30:$C$39,"&lt;="&amp;($AK378-1),Setting!$D$30:$D$39,"&gt;="&amp;($AK378-1))</f>
        <v>136.2</v>
      </c>
    </row>
    <row r="379" ht="15.75" customHeight="1">
      <c r="AK379" s="14">
        <v>374.0</v>
      </c>
      <c r="AL379" s="14">
        <f>AL378+SUMIFS(Setting!$E$30:$E$39,Setting!$A$30:$A$39,AL$4,Setting!$C$30:$C$39,"&lt;="&amp;($AK379-1),Setting!$D$30:$D$39,"&gt;="&amp;($AK379-1))</f>
        <v>167.2</v>
      </c>
      <c r="AM379" s="14">
        <f>AM378+SUMIFS(Setting!$E$30:$E$39,Setting!$A$30:$A$39,AM$4,Setting!$C$30:$C$39,"&lt;="&amp;($AK379-1),Setting!$D$30:$D$39,"&gt;="&amp;($AK379-1))</f>
        <v>136.4</v>
      </c>
    </row>
    <row r="380" ht="15.75" customHeight="1">
      <c r="AK380" s="14">
        <v>375.0</v>
      </c>
      <c r="AL380" s="14">
        <f>AL379+SUMIFS(Setting!$E$30:$E$39,Setting!$A$30:$A$39,AL$4,Setting!$C$30:$C$39,"&lt;="&amp;($AK380-1),Setting!$D$30:$D$39,"&gt;="&amp;($AK380-1))</f>
        <v>167.4</v>
      </c>
      <c r="AM380" s="14">
        <f>AM379+SUMIFS(Setting!$E$30:$E$39,Setting!$A$30:$A$39,AM$4,Setting!$C$30:$C$39,"&lt;="&amp;($AK380-1),Setting!$D$30:$D$39,"&gt;="&amp;($AK380-1))</f>
        <v>136.6</v>
      </c>
    </row>
    <row r="381" ht="15.75" customHeight="1">
      <c r="AK381" s="14">
        <v>376.0</v>
      </c>
      <c r="AL381" s="14">
        <f>AL380+SUMIFS(Setting!$E$30:$E$39,Setting!$A$30:$A$39,AL$4,Setting!$C$30:$C$39,"&lt;="&amp;($AK381-1),Setting!$D$30:$D$39,"&gt;="&amp;($AK381-1))</f>
        <v>167.6</v>
      </c>
      <c r="AM381" s="14">
        <f>AM380+SUMIFS(Setting!$E$30:$E$39,Setting!$A$30:$A$39,AM$4,Setting!$C$30:$C$39,"&lt;="&amp;($AK381-1),Setting!$D$30:$D$39,"&gt;="&amp;($AK381-1))</f>
        <v>136.8</v>
      </c>
    </row>
    <row r="382" ht="15.75" customHeight="1">
      <c r="AK382" s="14">
        <v>377.0</v>
      </c>
      <c r="AL382" s="14">
        <f>AL381+SUMIFS(Setting!$E$30:$E$39,Setting!$A$30:$A$39,AL$4,Setting!$C$30:$C$39,"&lt;="&amp;($AK382-1),Setting!$D$30:$D$39,"&gt;="&amp;($AK382-1))</f>
        <v>167.8</v>
      </c>
      <c r="AM382" s="14">
        <f>AM381+SUMIFS(Setting!$E$30:$E$39,Setting!$A$30:$A$39,AM$4,Setting!$C$30:$C$39,"&lt;="&amp;($AK382-1),Setting!$D$30:$D$39,"&gt;="&amp;($AK382-1))</f>
        <v>137</v>
      </c>
    </row>
    <row r="383" ht="15.75" customHeight="1">
      <c r="AK383" s="14">
        <v>378.0</v>
      </c>
      <c r="AL383" s="14">
        <f>AL382+SUMIFS(Setting!$E$30:$E$39,Setting!$A$30:$A$39,AL$4,Setting!$C$30:$C$39,"&lt;="&amp;($AK383-1),Setting!$D$30:$D$39,"&gt;="&amp;($AK383-1))</f>
        <v>168</v>
      </c>
      <c r="AM383" s="14">
        <f>AM382+SUMIFS(Setting!$E$30:$E$39,Setting!$A$30:$A$39,AM$4,Setting!$C$30:$C$39,"&lt;="&amp;($AK383-1),Setting!$D$30:$D$39,"&gt;="&amp;($AK383-1))</f>
        <v>137.2</v>
      </c>
    </row>
    <row r="384" ht="15.75" customHeight="1">
      <c r="AK384" s="14">
        <v>379.0</v>
      </c>
      <c r="AL384" s="14">
        <f>AL383+SUMIFS(Setting!$E$30:$E$39,Setting!$A$30:$A$39,AL$4,Setting!$C$30:$C$39,"&lt;="&amp;($AK384-1),Setting!$D$30:$D$39,"&gt;="&amp;($AK384-1))</f>
        <v>168.2</v>
      </c>
      <c r="AM384" s="14">
        <f>AM383+SUMIFS(Setting!$E$30:$E$39,Setting!$A$30:$A$39,AM$4,Setting!$C$30:$C$39,"&lt;="&amp;($AK384-1),Setting!$D$30:$D$39,"&gt;="&amp;($AK384-1))</f>
        <v>137.4</v>
      </c>
    </row>
    <row r="385" ht="15.75" customHeight="1">
      <c r="AK385" s="14">
        <v>380.0</v>
      </c>
      <c r="AL385" s="14">
        <f>AL384+SUMIFS(Setting!$E$30:$E$39,Setting!$A$30:$A$39,AL$4,Setting!$C$30:$C$39,"&lt;="&amp;($AK385-1),Setting!$D$30:$D$39,"&gt;="&amp;($AK385-1))</f>
        <v>168.4</v>
      </c>
      <c r="AM385" s="14">
        <f>AM384+SUMIFS(Setting!$E$30:$E$39,Setting!$A$30:$A$39,AM$4,Setting!$C$30:$C$39,"&lt;="&amp;($AK385-1),Setting!$D$30:$D$39,"&gt;="&amp;($AK385-1))</f>
        <v>137.6</v>
      </c>
    </row>
    <row r="386" ht="15.75" customHeight="1">
      <c r="AK386" s="14">
        <v>381.0</v>
      </c>
      <c r="AL386" s="14">
        <f>AL385+SUMIFS(Setting!$E$30:$E$39,Setting!$A$30:$A$39,AL$4,Setting!$C$30:$C$39,"&lt;="&amp;($AK386-1),Setting!$D$30:$D$39,"&gt;="&amp;($AK386-1))</f>
        <v>168.6</v>
      </c>
      <c r="AM386" s="14">
        <f>AM385+SUMIFS(Setting!$E$30:$E$39,Setting!$A$30:$A$39,AM$4,Setting!$C$30:$C$39,"&lt;="&amp;($AK386-1),Setting!$D$30:$D$39,"&gt;="&amp;($AK386-1))</f>
        <v>137.8</v>
      </c>
    </row>
    <row r="387" ht="15.75" customHeight="1">
      <c r="AK387" s="14">
        <v>382.0</v>
      </c>
      <c r="AL387" s="14">
        <f>AL386+SUMIFS(Setting!$E$30:$E$39,Setting!$A$30:$A$39,AL$4,Setting!$C$30:$C$39,"&lt;="&amp;($AK387-1),Setting!$D$30:$D$39,"&gt;="&amp;($AK387-1))</f>
        <v>168.8</v>
      </c>
      <c r="AM387" s="14">
        <f>AM386+SUMIFS(Setting!$E$30:$E$39,Setting!$A$30:$A$39,AM$4,Setting!$C$30:$C$39,"&lt;="&amp;($AK387-1),Setting!$D$30:$D$39,"&gt;="&amp;($AK387-1))</f>
        <v>138</v>
      </c>
    </row>
    <row r="388" ht="15.75" customHeight="1">
      <c r="AK388" s="14">
        <v>383.0</v>
      </c>
      <c r="AL388" s="14">
        <f>AL387+SUMIFS(Setting!$E$30:$E$39,Setting!$A$30:$A$39,AL$4,Setting!$C$30:$C$39,"&lt;="&amp;($AK388-1),Setting!$D$30:$D$39,"&gt;="&amp;($AK388-1))</f>
        <v>169</v>
      </c>
      <c r="AM388" s="14">
        <f>AM387+SUMIFS(Setting!$E$30:$E$39,Setting!$A$30:$A$39,AM$4,Setting!$C$30:$C$39,"&lt;="&amp;($AK388-1),Setting!$D$30:$D$39,"&gt;="&amp;($AK388-1))</f>
        <v>138.2</v>
      </c>
    </row>
    <row r="389" ht="15.75" customHeight="1">
      <c r="AK389" s="14">
        <v>384.0</v>
      </c>
      <c r="AL389" s="14">
        <f>AL388+SUMIFS(Setting!$E$30:$E$39,Setting!$A$30:$A$39,AL$4,Setting!$C$30:$C$39,"&lt;="&amp;($AK389-1),Setting!$D$30:$D$39,"&gt;="&amp;($AK389-1))</f>
        <v>169.2</v>
      </c>
      <c r="AM389" s="14">
        <f>AM388+SUMIFS(Setting!$E$30:$E$39,Setting!$A$30:$A$39,AM$4,Setting!$C$30:$C$39,"&lt;="&amp;($AK389-1),Setting!$D$30:$D$39,"&gt;="&amp;($AK389-1))</f>
        <v>138.4</v>
      </c>
    </row>
    <row r="390" ht="15.75" customHeight="1">
      <c r="AK390" s="14">
        <v>385.0</v>
      </c>
      <c r="AL390" s="14">
        <f>AL389+SUMIFS(Setting!$E$30:$E$39,Setting!$A$30:$A$39,AL$4,Setting!$C$30:$C$39,"&lt;="&amp;($AK390-1),Setting!$D$30:$D$39,"&gt;="&amp;($AK390-1))</f>
        <v>169.4</v>
      </c>
      <c r="AM390" s="14">
        <f>AM389+SUMIFS(Setting!$E$30:$E$39,Setting!$A$30:$A$39,AM$4,Setting!$C$30:$C$39,"&lt;="&amp;($AK390-1),Setting!$D$30:$D$39,"&gt;="&amp;($AK390-1))</f>
        <v>138.6</v>
      </c>
    </row>
    <row r="391" ht="15.75" customHeight="1">
      <c r="AK391" s="14">
        <v>386.0</v>
      </c>
      <c r="AL391" s="14">
        <f>AL390+SUMIFS(Setting!$E$30:$E$39,Setting!$A$30:$A$39,AL$4,Setting!$C$30:$C$39,"&lt;="&amp;($AK391-1),Setting!$D$30:$D$39,"&gt;="&amp;($AK391-1))</f>
        <v>169.6</v>
      </c>
      <c r="AM391" s="14">
        <f>AM390+SUMIFS(Setting!$E$30:$E$39,Setting!$A$30:$A$39,AM$4,Setting!$C$30:$C$39,"&lt;="&amp;($AK391-1),Setting!$D$30:$D$39,"&gt;="&amp;($AK391-1))</f>
        <v>138.8</v>
      </c>
    </row>
    <row r="392" ht="15.75" customHeight="1">
      <c r="AK392" s="14">
        <v>387.0</v>
      </c>
      <c r="AL392" s="14">
        <f>AL391+SUMIFS(Setting!$E$30:$E$39,Setting!$A$30:$A$39,AL$4,Setting!$C$30:$C$39,"&lt;="&amp;($AK392-1),Setting!$D$30:$D$39,"&gt;="&amp;($AK392-1))</f>
        <v>169.8</v>
      </c>
      <c r="AM392" s="14">
        <f>AM391+SUMIFS(Setting!$E$30:$E$39,Setting!$A$30:$A$39,AM$4,Setting!$C$30:$C$39,"&lt;="&amp;($AK392-1),Setting!$D$30:$D$39,"&gt;="&amp;($AK392-1))</f>
        <v>139</v>
      </c>
    </row>
    <row r="393" ht="15.75" customHeight="1">
      <c r="AK393" s="14">
        <v>388.0</v>
      </c>
      <c r="AL393" s="14">
        <f>AL392+SUMIFS(Setting!$E$30:$E$39,Setting!$A$30:$A$39,AL$4,Setting!$C$30:$C$39,"&lt;="&amp;($AK393-1),Setting!$D$30:$D$39,"&gt;="&amp;($AK393-1))</f>
        <v>170</v>
      </c>
      <c r="AM393" s="14">
        <f>AM392+SUMIFS(Setting!$E$30:$E$39,Setting!$A$30:$A$39,AM$4,Setting!$C$30:$C$39,"&lt;="&amp;($AK393-1),Setting!$D$30:$D$39,"&gt;="&amp;($AK393-1))</f>
        <v>139.2</v>
      </c>
    </row>
    <row r="394" ht="15.75" customHeight="1">
      <c r="AK394" s="14">
        <v>389.0</v>
      </c>
      <c r="AL394" s="14">
        <f>AL393+SUMIFS(Setting!$E$30:$E$39,Setting!$A$30:$A$39,AL$4,Setting!$C$30:$C$39,"&lt;="&amp;($AK394-1),Setting!$D$30:$D$39,"&gt;="&amp;($AK394-1))</f>
        <v>170.2</v>
      </c>
      <c r="AM394" s="14">
        <f>AM393+SUMIFS(Setting!$E$30:$E$39,Setting!$A$30:$A$39,AM$4,Setting!$C$30:$C$39,"&lt;="&amp;($AK394-1),Setting!$D$30:$D$39,"&gt;="&amp;($AK394-1))</f>
        <v>139.4</v>
      </c>
    </row>
    <row r="395" ht="15.75" customHeight="1">
      <c r="AK395" s="14">
        <v>390.0</v>
      </c>
      <c r="AL395" s="14">
        <f>AL394+SUMIFS(Setting!$E$30:$E$39,Setting!$A$30:$A$39,AL$4,Setting!$C$30:$C$39,"&lt;="&amp;($AK395-1),Setting!$D$30:$D$39,"&gt;="&amp;($AK395-1))</f>
        <v>170.4</v>
      </c>
      <c r="AM395" s="14">
        <f>AM394+SUMIFS(Setting!$E$30:$E$39,Setting!$A$30:$A$39,AM$4,Setting!$C$30:$C$39,"&lt;="&amp;($AK395-1),Setting!$D$30:$D$39,"&gt;="&amp;($AK395-1))</f>
        <v>139.6</v>
      </c>
    </row>
    <row r="396" ht="15.75" customHeight="1">
      <c r="AK396" s="14">
        <v>391.0</v>
      </c>
      <c r="AL396" s="14">
        <f>AL395+SUMIFS(Setting!$E$30:$E$39,Setting!$A$30:$A$39,AL$4,Setting!$C$30:$C$39,"&lt;="&amp;($AK396-1),Setting!$D$30:$D$39,"&gt;="&amp;($AK396-1))</f>
        <v>170.6</v>
      </c>
      <c r="AM396" s="14">
        <f>AM395+SUMIFS(Setting!$E$30:$E$39,Setting!$A$30:$A$39,AM$4,Setting!$C$30:$C$39,"&lt;="&amp;($AK396-1),Setting!$D$30:$D$39,"&gt;="&amp;($AK396-1))</f>
        <v>139.8</v>
      </c>
    </row>
    <row r="397" ht="15.75" customHeight="1">
      <c r="AK397" s="14">
        <v>392.0</v>
      </c>
      <c r="AL397" s="14">
        <f>AL396+SUMIFS(Setting!$E$30:$E$39,Setting!$A$30:$A$39,AL$4,Setting!$C$30:$C$39,"&lt;="&amp;($AK397-1),Setting!$D$30:$D$39,"&gt;="&amp;($AK397-1))</f>
        <v>170.8</v>
      </c>
      <c r="AM397" s="14">
        <f>AM396+SUMIFS(Setting!$E$30:$E$39,Setting!$A$30:$A$39,AM$4,Setting!$C$30:$C$39,"&lt;="&amp;($AK397-1),Setting!$D$30:$D$39,"&gt;="&amp;($AK397-1))</f>
        <v>140</v>
      </c>
    </row>
    <row r="398" ht="15.75" customHeight="1">
      <c r="AK398" s="14">
        <v>393.0</v>
      </c>
      <c r="AL398" s="14">
        <f>AL397+SUMIFS(Setting!$E$30:$E$39,Setting!$A$30:$A$39,AL$4,Setting!$C$30:$C$39,"&lt;="&amp;($AK398-1),Setting!$D$30:$D$39,"&gt;="&amp;($AK398-1))</f>
        <v>171</v>
      </c>
      <c r="AM398" s="14">
        <f>AM397+SUMIFS(Setting!$E$30:$E$39,Setting!$A$30:$A$39,AM$4,Setting!$C$30:$C$39,"&lt;="&amp;($AK398-1),Setting!$D$30:$D$39,"&gt;="&amp;($AK398-1))</f>
        <v>140.2</v>
      </c>
    </row>
    <row r="399" ht="15.75" customHeight="1">
      <c r="AK399" s="14">
        <v>394.0</v>
      </c>
      <c r="AL399" s="14">
        <f>AL398+SUMIFS(Setting!$E$30:$E$39,Setting!$A$30:$A$39,AL$4,Setting!$C$30:$C$39,"&lt;="&amp;($AK399-1),Setting!$D$30:$D$39,"&gt;="&amp;($AK399-1))</f>
        <v>171.2</v>
      </c>
      <c r="AM399" s="14">
        <f>AM398+SUMIFS(Setting!$E$30:$E$39,Setting!$A$30:$A$39,AM$4,Setting!$C$30:$C$39,"&lt;="&amp;($AK399-1),Setting!$D$30:$D$39,"&gt;="&amp;($AK399-1))</f>
        <v>140.4</v>
      </c>
    </row>
    <row r="400" ht="15.75" customHeight="1">
      <c r="AK400" s="14">
        <v>395.0</v>
      </c>
      <c r="AL400" s="14">
        <f>AL399+SUMIFS(Setting!$E$30:$E$39,Setting!$A$30:$A$39,AL$4,Setting!$C$30:$C$39,"&lt;="&amp;($AK400-1),Setting!$D$30:$D$39,"&gt;="&amp;($AK400-1))</f>
        <v>171.4</v>
      </c>
      <c r="AM400" s="14">
        <f>AM399+SUMIFS(Setting!$E$30:$E$39,Setting!$A$30:$A$39,AM$4,Setting!$C$30:$C$39,"&lt;="&amp;($AK400-1),Setting!$D$30:$D$39,"&gt;="&amp;($AK400-1))</f>
        <v>140.6</v>
      </c>
    </row>
    <row r="401" ht="15.75" customHeight="1">
      <c r="AK401" s="14">
        <v>396.0</v>
      </c>
      <c r="AL401" s="14">
        <f>AL400+SUMIFS(Setting!$E$30:$E$39,Setting!$A$30:$A$39,AL$4,Setting!$C$30:$C$39,"&lt;="&amp;($AK401-1),Setting!$D$30:$D$39,"&gt;="&amp;($AK401-1))</f>
        <v>171.6</v>
      </c>
      <c r="AM401" s="14">
        <f>AM400+SUMIFS(Setting!$E$30:$E$39,Setting!$A$30:$A$39,AM$4,Setting!$C$30:$C$39,"&lt;="&amp;($AK401-1),Setting!$D$30:$D$39,"&gt;="&amp;($AK401-1))</f>
        <v>140.8</v>
      </c>
    </row>
    <row r="402" ht="15.75" customHeight="1">
      <c r="AK402" s="14">
        <v>397.0</v>
      </c>
      <c r="AL402" s="14">
        <f>AL401+SUMIFS(Setting!$E$30:$E$39,Setting!$A$30:$A$39,AL$4,Setting!$C$30:$C$39,"&lt;="&amp;($AK402-1),Setting!$D$30:$D$39,"&gt;="&amp;($AK402-1))</f>
        <v>171.8</v>
      </c>
      <c r="AM402" s="14">
        <f>AM401+SUMIFS(Setting!$E$30:$E$39,Setting!$A$30:$A$39,AM$4,Setting!$C$30:$C$39,"&lt;="&amp;($AK402-1),Setting!$D$30:$D$39,"&gt;="&amp;($AK402-1))</f>
        <v>141</v>
      </c>
    </row>
    <row r="403" ht="15.75" customHeight="1">
      <c r="AK403" s="14">
        <v>398.0</v>
      </c>
      <c r="AL403" s="14">
        <f>AL402+SUMIFS(Setting!$E$30:$E$39,Setting!$A$30:$A$39,AL$4,Setting!$C$30:$C$39,"&lt;="&amp;($AK403-1),Setting!$D$30:$D$39,"&gt;="&amp;($AK403-1))</f>
        <v>172</v>
      </c>
      <c r="AM403" s="14">
        <f>AM402+SUMIFS(Setting!$E$30:$E$39,Setting!$A$30:$A$39,AM$4,Setting!$C$30:$C$39,"&lt;="&amp;($AK403-1),Setting!$D$30:$D$39,"&gt;="&amp;($AK403-1))</f>
        <v>141.2</v>
      </c>
    </row>
    <row r="404" ht="15.75" customHeight="1">
      <c r="AK404" s="14">
        <v>399.0</v>
      </c>
      <c r="AL404" s="14">
        <f>AL403+SUMIFS(Setting!$E$30:$E$39,Setting!$A$30:$A$39,AL$4,Setting!$C$30:$C$39,"&lt;="&amp;($AK404-1),Setting!$D$30:$D$39,"&gt;="&amp;($AK404-1))</f>
        <v>172.2</v>
      </c>
      <c r="AM404" s="14">
        <f>AM403+SUMIFS(Setting!$E$30:$E$39,Setting!$A$30:$A$39,AM$4,Setting!$C$30:$C$39,"&lt;="&amp;($AK404-1),Setting!$D$30:$D$39,"&gt;="&amp;($AK404-1))</f>
        <v>141.4</v>
      </c>
    </row>
    <row r="405" ht="15.75" customHeight="1">
      <c r="AK405" s="14">
        <v>400.0</v>
      </c>
      <c r="AL405" s="14">
        <f>AL404+SUMIFS(Setting!$E$30:$E$39,Setting!$A$30:$A$39,AL$4,Setting!$C$30:$C$39,"&lt;="&amp;($AK405-1),Setting!$D$30:$D$39,"&gt;="&amp;($AK405-1))</f>
        <v>172.4</v>
      </c>
      <c r="AM405" s="14">
        <f>AM404+SUMIFS(Setting!$E$30:$E$39,Setting!$A$30:$A$39,AM$4,Setting!$C$30:$C$39,"&lt;="&amp;($AK405-1),Setting!$D$30:$D$39,"&gt;="&amp;($AK405-1))</f>
        <v>141.6</v>
      </c>
    </row>
    <row r="406" ht="15.75" customHeight="1">
      <c r="AK406" s="14">
        <v>401.0</v>
      </c>
      <c r="AL406" s="14">
        <f>AL405+SUMIFS(Setting!$E$30:$E$39,Setting!$A$30:$A$39,AL$4,Setting!$C$30:$C$39,"&lt;="&amp;($AK406-1),Setting!$D$30:$D$39,"&gt;="&amp;($AK406-1))</f>
        <v>172.6</v>
      </c>
      <c r="AM406" s="14">
        <f>AM405+SUMIFS(Setting!$E$30:$E$39,Setting!$A$30:$A$39,AM$4,Setting!$C$30:$C$39,"&lt;="&amp;($AK406-1),Setting!$D$30:$D$39,"&gt;="&amp;($AK406-1))</f>
        <v>141.8</v>
      </c>
    </row>
    <row r="407" ht="15.75" customHeight="1">
      <c r="AK407" s="14">
        <v>402.0</v>
      </c>
      <c r="AL407" s="14">
        <f>AL406+SUMIFS(Setting!$E$30:$E$39,Setting!$A$30:$A$39,AL$4,Setting!$C$30:$C$39,"&lt;="&amp;($AK407-1),Setting!$D$30:$D$39,"&gt;="&amp;($AK407-1))</f>
        <v>172.8</v>
      </c>
      <c r="AM407" s="14">
        <f>AM406+SUMIFS(Setting!$E$30:$E$39,Setting!$A$30:$A$39,AM$4,Setting!$C$30:$C$39,"&lt;="&amp;($AK407-1),Setting!$D$30:$D$39,"&gt;="&amp;($AK407-1))</f>
        <v>142</v>
      </c>
    </row>
    <row r="408" ht="15.75" customHeight="1">
      <c r="AK408" s="14">
        <v>403.0</v>
      </c>
      <c r="AL408" s="14">
        <f>AL407+SUMIFS(Setting!$E$30:$E$39,Setting!$A$30:$A$39,AL$4,Setting!$C$30:$C$39,"&lt;="&amp;($AK408-1),Setting!$D$30:$D$39,"&gt;="&amp;($AK408-1))</f>
        <v>173</v>
      </c>
      <c r="AM408" s="14">
        <f>AM407+SUMIFS(Setting!$E$30:$E$39,Setting!$A$30:$A$39,AM$4,Setting!$C$30:$C$39,"&lt;="&amp;($AK408-1),Setting!$D$30:$D$39,"&gt;="&amp;($AK408-1))</f>
        <v>142.2</v>
      </c>
    </row>
    <row r="409" ht="15.75" customHeight="1">
      <c r="AK409" s="14">
        <v>404.0</v>
      </c>
      <c r="AL409" s="14">
        <f>AL408+SUMIFS(Setting!$E$30:$E$39,Setting!$A$30:$A$39,AL$4,Setting!$C$30:$C$39,"&lt;="&amp;($AK409-1),Setting!$D$30:$D$39,"&gt;="&amp;($AK409-1))</f>
        <v>173.2</v>
      </c>
      <c r="AM409" s="14">
        <f>AM408+SUMIFS(Setting!$E$30:$E$39,Setting!$A$30:$A$39,AM$4,Setting!$C$30:$C$39,"&lt;="&amp;($AK409-1),Setting!$D$30:$D$39,"&gt;="&amp;($AK409-1))</f>
        <v>142.4</v>
      </c>
    </row>
    <row r="410" ht="15.75" customHeight="1">
      <c r="AK410" s="14">
        <v>405.0</v>
      </c>
      <c r="AL410" s="14">
        <f>AL409+SUMIFS(Setting!$E$30:$E$39,Setting!$A$30:$A$39,AL$4,Setting!$C$30:$C$39,"&lt;="&amp;($AK410-1),Setting!$D$30:$D$39,"&gt;="&amp;($AK410-1))</f>
        <v>173.4</v>
      </c>
      <c r="AM410" s="14">
        <f>AM409+SUMIFS(Setting!$E$30:$E$39,Setting!$A$30:$A$39,AM$4,Setting!$C$30:$C$39,"&lt;="&amp;($AK410-1),Setting!$D$30:$D$39,"&gt;="&amp;($AK410-1))</f>
        <v>142.6</v>
      </c>
    </row>
    <row r="411" ht="15.75" customHeight="1">
      <c r="AK411" s="14">
        <v>406.0</v>
      </c>
      <c r="AL411" s="14">
        <f>AL410+SUMIFS(Setting!$E$30:$E$39,Setting!$A$30:$A$39,AL$4,Setting!$C$30:$C$39,"&lt;="&amp;($AK411-1),Setting!$D$30:$D$39,"&gt;="&amp;($AK411-1))</f>
        <v>173.6</v>
      </c>
      <c r="AM411" s="14">
        <f>AM410+SUMIFS(Setting!$E$30:$E$39,Setting!$A$30:$A$39,AM$4,Setting!$C$30:$C$39,"&lt;="&amp;($AK411-1),Setting!$D$30:$D$39,"&gt;="&amp;($AK411-1))</f>
        <v>142.8</v>
      </c>
    </row>
    <row r="412" ht="15.75" customHeight="1">
      <c r="AK412" s="14">
        <v>407.0</v>
      </c>
      <c r="AL412" s="14">
        <f>AL411+SUMIFS(Setting!$E$30:$E$39,Setting!$A$30:$A$39,AL$4,Setting!$C$30:$C$39,"&lt;="&amp;($AK412-1),Setting!$D$30:$D$39,"&gt;="&amp;($AK412-1))</f>
        <v>173.8</v>
      </c>
      <c r="AM412" s="14">
        <f>AM411+SUMIFS(Setting!$E$30:$E$39,Setting!$A$30:$A$39,AM$4,Setting!$C$30:$C$39,"&lt;="&amp;($AK412-1),Setting!$D$30:$D$39,"&gt;="&amp;($AK412-1))</f>
        <v>143</v>
      </c>
    </row>
    <row r="413" ht="15.75" customHeight="1">
      <c r="AK413" s="14">
        <v>408.0</v>
      </c>
      <c r="AL413" s="14">
        <f>AL412+SUMIFS(Setting!$E$30:$E$39,Setting!$A$30:$A$39,AL$4,Setting!$C$30:$C$39,"&lt;="&amp;($AK413-1),Setting!$D$30:$D$39,"&gt;="&amp;($AK413-1))</f>
        <v>174</v>
      </c>
      <c r="AM413" s="14">
        <f>AM412+SUMIFS(Setting!$E$30:$E$39,Setting!$A$30:$A$39,AM$4,Setting!$C$30:$C$39,"&lt;="&amp;($AK413-1),Setting!$D$30:$D$39,"&gt;="&amp;($AK413-1))</f>
        <v>143.2</v>
      </c>
    </row>
    <row r="414" ht="15.75" customHeight="1">
      <c r="AK414" s="14">
        <v>409.0</v>
      </c>
      <c r="AL414" s="14">
        <f>AL413+SUMIFS(Setting!$E$30:$E$39,Setting!$A$30:$A$39,AL$4,Setting!$C$30:$C$39,"&lt;="&amp;($AK414-1),Setting!$D$30:$D$39,"&gt;="&amp;($AK414-1))</f>
        <v>174.2</v>
      </c>
      <c r="AM414" s="14">
        <f>AM413+SUMIFS(Setting!$E$30:$E$39,Setting!$A$30:$A$39,AM$4,Setting!$C$30:$C$39,"&lt;="&amp;($AK414-1),Setting!$D$30:$D$39,"&gt;="&amp;($AK414-1))</f>
        <v>143.4</v>
      </c>
    </row>
    <row r="415" ht="15.75" customHeight="1">
      <c r="AK415" s="14">
        <v>410.0</v>
      </c>
      <c r="AL415" s="14">
        <f>AL414+SUMIFS(Setting!$E$30:$E$39,Setting!$A$30:$A$39,AL$4,Setting!$C$30:$C$39,"&lt;="&amp;($AK415-1),Setting!$D$30:$D$39,"&gt;="&amp;($AK415-1))</f>
        <v>174.4</v>
      </c>
      <c r="AM415" s="14">
        <f>AM414+SUMIFS(Setting!$E$30:$E$39,Setting!$A$30:$A$39,AM$4,Setting!$C$30:$C$39,"&lt;="&amp;($AK415-1),Setting!$D$30:$D$39,"&gt;="&amp;($AK415-1))</f>
        <v>143.6</v>
      </c>
    </row>
    <row r="416" ht="15.75" customHeight="1">
      <c r="AK416" s="14">
        <v>411.0</v>
      </c>
      <c r="AL416" s="14">
        <f>AL415+SUMIFS(Setting!$E$30:$E$39,Setting!$A$30:$A$39,AL$4,Setting!$C$30:$C$39,"&lt;="&amp;($AK416-1),Setting!$D$30:$D$39,"&gt;="&amp;($AK416-1))</f>
        <v>174.6</v>
      </c>
      <c r="AM416" s="14">
        <f>AM415+SUMIFS(Setting!$E$30:$E$39,Setting!$A$30:$A$39,AM$4,Setting!$C$30:$C$39,"&lt;="&amp;($AK416-1),Setting!$D$30:$D$39,"&gt;="&amp;($AK416-1))</f>
        <v>143.8</v>
      </c>
    </row>
    <row r="417" ht="15.75" customHeight="1">
      <c r="AK417" s="14">
        <v>412.0</v>
      </c>
      <c r="AL417" s="14">
        <f>AL416+SUMIFS(Setting!$E$30:$E$39,Setting!$A$30:$A$39,AL$4,Setting!$C$30:$C$39,"&lt;="&amp;($AK417-1),Setting!$D$30:$D$39,"&gt;="&amp;($AK417-1))</f>
        <v>174.8</v>
      </c>
      <c r="AM417" s="14">
        <f>AM416+SUMIFS(Setting!$E$30:$E$39,Setting!$A$30:$A$39,AM$4,Setting!$C$30:$C$39,"&lt;="&amp;($AK417-1),Setting!$D$30:$D$39,"&gt;="&amp;($AK417-1))</f>
        <v>144</v>
      </c>
    </row>
    <row r="418" ht="15.75" customHeight="1">
      <c r="AK418" s="14">
        <v>413.0</v>
      </c>
      <c r="AL418" s="14">
        <f>AL417+SUMIFS(Setting!$E$30:$E$39,Setting!$A$30:$A$39,AL$4,Setting!$C$30:$C$39,"&lt;="&amp;($AK418-1),Setting!$D$30:$D$39,"&gt;="&amp;($AK418-1))</f>
        <v>175</v>
      </c>
      <c r="AM418" s="14">
        <f>AM417+SUMIFS(Setting!$E$30:$E$39,Setting!$A$30:$A$39,AM$4,Setting!$C$30:$C$39,"&lt;="&amp;($AK418-1),Setting!$D$30:$D$39,"&gt;="&amp;($AK418-1))</f>
        <v>144.2</v>
      </c>
    </row>
    <row r="419" ht="15.75" customHeight="1">
      <c r="AK419" s="14">
        <v>414.0</v>
      </c>
      <c r="AL419" s="14">
        <f>AL418+SUMIFS(Setting!$E$30:$E$39,Setting!$A$30:$A$39,AL$4,Setting!$C$30:$C$39,"&lt;="&amp;($AK419-1),Setting!$D$30:$D$39,"&gt;="&amp;($AK419-1))</f>
        <v>175.2</v>
      </c>
      <c r="AM419" s="14">
        <f>AM418+SUMIFS(Setting!$E$30:$E$39,Setting!$A$30:$A$39,AM$4,Setting!$C$30:$C$39,"&lt;="&amp;($AK419-1),Setting!$D$30:$D$39,"&gt;="&amp;($AK419-1))</f>
        <v>144.4</v>
      </c>
    </row>
    <row r="420" ht="15.75" customHeight="1">
      <c r="AK420" s="14">
        <v>415.0</v>
      </c>
      <c r="AL420" s="14">
        <f>AL419+SUMIFS(Setting!$E$30:$E$39,Setting!$A$30:$A$39,AL$4,Setting!$C$30:$C$39,"&lt;="&amp;($AK420-1),Setting!$D$30:$D$39,"&gt;="&amp;($AK420-1))</f>
        <v>175.4</v>
      </c>
      <c r="AM420" s="14">
        <f>AM419+SUMIFS(Setting!$E$30:$E$39,Setting!$A$30:$A$39,AM$4,Setting!$C$30:$C$39,"&lt;="&amp;($AK420-1),Setting!$D$30:$D$39,"&gt;="&amp;($AK420-1))</f>
        <v>144.6</v>
      </c>
    </row>
    <row r="421" ht="15.75" customHeight="1">
      <c r="AK421" s="14">
        <v>416.0</v>
      </c>
      <c r="AL421" s="14">
        <f>AL420+SUMIFS(Setting!$E$30:$E$39,Setting!$A$30:$A$39,AL$4,Setting!$C$30:$C$39,"&lt;="&amp;($AK421-1),Setting!$D$30:$D$39,"&gt;="&amp;($AK421-1))</f>
        <v>175.6</v>
      </c>
      <c r="AM421" s="14">
        <f>AM420+SUMIFS(Setting!$E$30:$E$39,Setting!$A$30:$A$39,AM$4,Setting!$C$30:$C$39,"&lt;="&amp;($AK421-1),Setting!$D$30:$D$39,"&gt;="&amp;($AK421-1))</f>
        <v>144.8</v>
      </c>
    </row>
    <row r="422" ht="15.75" customHeight="1">
      <c r="AK422" s="14">
        <v>417.0</v>
      </c>
      <c r="AL422" s="14">
        <f>AL421+SUMIFS(Setting!$E$30:$E$39,Setting!$A$30:$A$39,AL$4,Setting!$C$30:$C$39,"&lt;="&amp;($AK422-1),Setting!$D$30:$D$39,"&gt;="&amp;($AK422-1))</f>
        <v>175.8</v>
      </c>
      <c r="AM422" s="14">
        <f>AM421+SUMIFS(Setting!$E$30:$E$39,Setting!$A$30:$A$39,AM$4,Setting!$C$30:$C$39,"&lt;="&amp;($AK422-1),Setting!$D$30:$D$39,"&gt;="&amp;($AK422-1))</f>
        <v>145</v>
      </c>
    </row>
    <row r="423" ht="15.75" customHeight="1">
      <c r="AK423" s="14">
        <v>418.0</v>
      </c>
      <c r="AL423" s="14">
        <f>AL422+SUMIFS(Setting!$E$30:$E$39,Setting!$A$30:$A$39,AL$4,Setting!$C$30:$C$39,"&lt;="&amp;($AK423-1),Setting!$D$30:$D$39,"&gt;="&amp;($AK423-1))</f>
        <v>176</v>
      </c>
      <c r="AM423" s="14">
        <f>AM422+SUMIFS(Setting!$E$30:$E$39,Setting!$A$30:$A$39,AM$4,Setting!$C$30:$C$39,"&lt;="&amp;($AK423-1),Setting!$D$30:$D$39,"&gt;="&amp;($AK423-1))</f>
        <v>145.2</v>
      </c>
    </row>
    <row r="424" ht="15.75" customHeight="1">
      <c r="AK424" s="14">
        <v>419.0</v>
      </c>
      <c r="AL424" s="14">
        <f>AL423+SUMIFS(Setting!$E$30:$E$39,Setting!$A$30:$A$39,AL$4,Setting!$C$30:$C$39,"&lt;="&amp;($AK424-1),Setting!$D$30:$D$39,"&gt;="&amp;($AK424-1))</f>
        <v>176.2</v>
      </c>
      <c r="AM424" s="14">
        <f>AM423+SUMIFS(Setting!$E$30:$E$39,Setting!$A$30:$A$39,AM$4,Setting!$C$30:$C$39,"&lt;="&amp;($AK424-1),Setting!$D$30:$D$39,"&gt;="&amp;($AK424-1))</f>
        <v>145.4</v>
      </c>
    </row>
    <row r="425" ht="15.75" customHeight="1">
      <c r="AK425" s="14">
        <v>420.0</v>
      </c>
      <c r="AL425" s="14">
        <f>AL424+SUMIFS(Setting!$E$30:$E$39,Setting!$A$30:$A$39,AL$4,Setting!$C$30:$C$39,"&lt;="&amp;($AK425-1),Setting!$D$30:$D$39,"&gt;="&amp;($AK425-1))</f>
        <v>176.4</v>
      </c>
      <c r="AM425" s="14">
        <f>AM424+SUMIFS(Setting!$E$30:$E$39,Setting!$A$30:$A$39,AM$4,Setting!$C$30:$C$39,"&lt;="&amp;($AK425-1),Setting!$D$30:$D$39,"&gt;="&amp;($AK425-1))</f>
        <v>145.6</v>
      </c>
    </row>
    <row r="426" ht="15.75" customHeight="1">
      <c r="AK426" s="14">
        <v>421.0</v>
      </c>
      <c r="AL426" s="14">
        <f>AL425+SUMIFS(Setting!$E$30:$E$39,Setting!$A$30:$A$39,AL$4,Setting!$C$30:$C$39,"&lt;="&amp;($AK426-1),Setting!$D$30:$D$39,"&gt;="&amp;($AK426-1))</f>
        <v>176.6</v>
      </c>
      <c r="AM426" s="14">
        <f>AM425+SUMIFS(Setting!$E$30:$E$39,Setting!$A$30:$A$39,AM$4,Setting!$C$30:$C$39,"&lt;="&amp;($AK426-1),Setting!$D$30:$D$39,"&gt;="&amp;($AK426-1))</f>
        <v>145.8</v>
      </c>
    </row>
    <row r="427" ht="15.75" customHeight="1">
      <c r="AK427" s="14">
        <v>422.0</v>
      </c>
      <c r="AL427" s="14">
        <f>AL426+SUMIFS(Setting!$E$30:$E$39,Setting!$A$30:$A$39,AL$4,Setting!$C$30:$C$39,"&lt;="&amp;($AK427-1),Setting!$D$30:$D$39,"&gt;="&amp;($AK427-1))</f>
        <v>176.8</v>
      </c>
      <c r="AM427" s="14">
        <f>AM426+SUMIFS(Setting!$E$30:$E$39,Setting!$A$30:$A$39,AM$4,Setting!$C$30:$C$39,"&lt;="&amp;($AK427-1),Setting!$D$30:$D$39,"&gt;="&amp;($AK427-1))</f>
        <v>146</v>
      </c>
    </row>
    <row r="428" ht="15.75" customHeight="1">
      <c r="AK428" s="14">
        <v>423.0</v>
      </c>
      <c r="AL428" s="14">
        <f>AL427+SUMIFS(Setting!$E$30:$E$39,Setting!$A$30:$A$39,AL$4,Setting!$C$30:$C$39,"&lt;="&amp;($AK428-1),Setting!$D$30:$D$39,"&gt;="&amp;($AK428-1))</f>
        <v>177</v>
      </c>
      <c r="AM428" s="14">
        <f>AM427+SUMIFS(Setting!$E$30:$E$39,Setting!$A$30:$A$39,AM$4,Setting!$C$30:$C$39,"&lt;="&amp;($AK428-1),Setting!$D$30:$D$39,"&gt;="&amp;($AK428-1))</f>
        <v>146.2</v>
      </c>
    </row>
    <row r="429" ht="15.75" customHeight="1">
      <c r="AK429" s="14">
        <v>424.0</v>
      </c>
      <c r="AL429" s="14">
        <f>AL428+SUMIFS(Setting!$E$30:$E$39,Setting!$A$30:$A$39,AL$4,Setting!$C$30:$C$39,"&lt;="&amp;($AK429-1),Setting!$D$30:$D$39,"&gt;="&amp;($AK429-1))</f>
        <v>177.2</v>
      </c>
      <c r="AM429" s="14">
        <f>AM428+SUMIFS(Setting!$E$30:$E$39,Setting!$A$30:$A$39,AM$4,Setting!$C$30:$C$39,"&lt;="&amp;($AK429-1),Setting!$D$30:$D$39,"&gt;="&amp;($AK429-1))</f>
        <v>146.4</v>
      </c>
    </row>
    <row r="430" ht="15.75" customHeight="1">
      <c r="AK430" s="14">
        <v>425.0</v>
      </c>
      <c r="AL430" s="14">
        <f>AL429+SUMIFS(Setting!$E$30:$E$39,Setting!$A$30:$A$39,AL$4,Setting!$C$30:$C$39,"&lt;="&amp;($AK430-1),Setting!$D$30:$D$39,"&gt;="&amp;($AK430-1))</f>
        <v>177.4</v>
      </c>
      <c r="AM430" s="14">
        <f>AM429+SUMIFS(Setting!$E$30:$E$39,Setting!$A$30:$A$39,AM$4,Setting!$C$30:$C$39,"&lt;="&amp;($AK430-1),Setting!$D$30:$D$39,"&gt;="&amp;($AK430-1))</f>
        <v>146.6</v>
      </c>
    </row>
    <row r="431" ht="15.75" customHeight="1">
      <c r="AK431" s="14">
        <v>426.0</v>
      </c>
      <c r="AL431" s="14">
        <f>AL430+SUMIFS(Setting!$E$30:$E$39,Setting!$A$30:$A$39,AL$4,Setting!$C$30:$C$39,"&lt;="&amp;($AK431-1),Setting!$D$30:$D$39,"&gt;="&amp;($AK431-1))</f>
        <v>177.6</v>
      </c>
      <c r="AM431" s="14">
        <f>AM430+SUMIFS(Setting!$E$30:$E$39,Setting!$A$30:$A$39,AM$4,Setting!$C$30:$C$39,"&lt;="&amp;($AK431-1),Setting!$D$30:$D$39,"&gt;="&amp;($AK431-1))</f>
        <v>146.8</v>
      </c>
    </row>
    <row r="432" ht="15.75" customHeight="1">
      <c r="AK432" s="14">
        <v>427.0</v>
      </c>
      <c r="AL432" s="14">
        <f>AL431+SUMIFS(Setting!$E$30:$E$39,Setting!$A$30:$A$39,AL$4,Setting!$C$30:$C$39,"&lt;="&amp;($AK432-1),Setting!$D$30:$D$39,"&gt;="&amp;($AK432-1))</f>
        <v>177.8</v>
      </c>
      <c r="AM432" s="14">
        <f>AM431+SUMIFS(Setting!$E$30:$E$39,Setting!$A$30:$A$39,AM$4,Setting!$C$30:$C$39,"&lt;="&amp;($AK432-1),Setting!$D$30:$D$39,"&gt;="&amp;($AK432-1))</f>
        <v>147</v>
      </c>
    </row>
    <row r="433" ht="15.75" customHeight="1">
      <c r="AK433" s="14">
        <v>428.0</v>
      </c>
      <c r="AL433" s="14">
        <f>AL432+SUMIFS(Setting!$E$30:$E$39,Setting!$A$30:$A$39,AL$4,Setting!$C$30:$C$39,"&lt;="&amp;($AK433-1),Setting!$D$30:$D$39,"&gt;="&amp;($AK433-1))</f>
        <v>178</v>
      </c>
      <c r="AM433" s="14">
        <f>AM432+SUMIFS(Setting!$E$30:$E$39,Setting!$A$30:$A$39,AM$4,Setting!$C$30:$C$39,"&lt;="&amp;($AK433-1),Setting!$D$30:$D$39,"&gt;="&amp;($AK433-1))</f>
        <v>147.2</v>
      </c>
    </row>
    <row r="434" ht="15.75" customHeight="1">
      <c r="AK434" s="14">
        <v>429.0</v>
      </c>
      <c r="AL434" s="14">
        <f>AL433+SUMIFS(Setting!$E$30:$E$39,Setting!$A$30:$A$39,AL$4,Setting!$C$30:$C$39,"&lt;="&amp;($AK434-1),Setting!$D$30:$D$39,"&gt;="&amp;($AK434-1))</f>
        <v>178.2</v>
      </c>
      <c r="AM434" s="14">
        <f>AM433+SUMIFS(Setting!$E$30:$E$39,Setting!$A$30:$A$39,AM$4,Setting!$C$30:$C$39,"&lt;="&amp;($AK434-1),Setting!$D$30:$D$39,"&gt;="&amp;($AK434-1))</f>
        <v>147.4</v>
      </c>
    </row>
    <row r="435" ht="15.75" customHeight="1">
      <c r="AK435" s="14">
        <v>430.0</v>
      </c>
      <c r="AL435" s="14">
        <f>AL434+SUMIFS(Setting!$E$30:$E$39,Setting!$A$30:$A$39,AL$4,Setting!$C$30:$C$39,"&lt;="&amp;($AK435-1),Setting!$D$30:$D$39,"&gt;="&amp;($AK435-1))</f>
        <v>178.4</v>
      </c>
      <c r="AM435" s="14">
        <f>AM434+SUMIFS(Setting!$E$30:$E$39,Setting!$A$30:$A$39,AM$4,Setting!$C$30:$C$39,"&lt;="&amp;($AK435-1),Setting!$D$30:$D$39,"&gt;="&amp;($AK435-1))</f>
        <v>147.6</v>
      </c>
    </row>
    <row r="436" ht="15.75" customHeight="1">
      <c r="AK436" s="14">
        <v>431.0</v>
      </c>
      <c r="AL436" s="14">
        <f>AL435+SUMIFS(Setting!$E$30:$E$39,Setting!$A$30:$A$39,AL$4,Setting!$C$30:$C$39,"&lt;="&amp;($AK436-1),Setting!$D$30:$D$39,"&gt;="&amp;($AK436-1))</f>
        <v>178.6</v>
      </c>
      <c r="AM436" s="14">
        <f>AM435+SUMIFS(Setting!$E$30:$E$39,Setting!$A$30:$A$39,AM$4,Setting!$C$30:$C$39,"&lt;="&amp;($AK436-1),Setting!$D$30:$D$39,"&gt;="&amp;($AK436-1))</f>
        <v>147.8</v>
      </c>
    </row>
    <row r="437" ht="15.75" customHeight="1">
      <c r="AK437" s="14">
        <v>432.0</v>
      </c>
      <c r="AL437" s="14">
        <f>AL436+SUMIFS(Setting!$E$30:$E$39,Setting!$A$30:$A$39,AL$4,Setting!$C$30:$C$39,"&lt;="&amp;($AK437-1),Setting!$D$30:$D$39,"&gt;="&amp;($AK437-1))</f>
        <v>178.8</v>
      </c>
      <c r="AM437" s="14">
        <f>AM436+SUMIFS(Setting!$E$30:$E$39,Setting!$A$30:$A$39,AM$4,Setting!$C$30:$C$39,"&lt;="&amp;($AK437-1),Setting!$D$30:$D$39,"&gt;="&amp;($AK437-1))</f>
        <v>148</v>
      </c>
    </row>
    <row r="438" ht="15.75" customHeight="1">
      <c r="AK438" s="14">
        <v>433.0</v>
      </c>
      <c r="AL438" s="14">
        <f>AL437+SUMIFS(Setting!$E$30:$E$39,Setting!$A$30:$A$39,AL$4,Setting!$C$30:$C$39,"&lt;="&amp;($AK438-1),Setting!$D$30:$D$39,"&gt;="&amp;($AK438-1))</f>
        <v>179</v>
      </c>
      <c r="AM438" s="14">
        <f>AM437+SUMIFS(Setting!$E$30:$E$39,Setting!$A$30:$A$39,AM$4,Setting!$C$30:$C$39,"&lt;="&amp;($AK438-1),Setting!$D$30:$D$39,"&gt;="&amp;($AK438-1))</f>
        <v>148.2</v>
      </c>
    </row>
    <row r="439" ht="15.75" customHeight="1">
      <c r="AK439" s="14">
        <v>434.0</v>
      </c>
      <c r="AL439" s="14">
        <f>AL438+SUMIFS(Setting!$E$30:$E$39,Setting!$A$30:$A$39,AL$4,Setting!$C$30:$C$39,"&lt;="&amp;($AK439-1),Setting!$D$30:$D$39,"&gt;="&amp;($AK439-1))</f>
        <v>179.2</v>
      </c>
      <c r="AM439" s="14">
        <f>AM438+SUMIFS(Setting!$E$30:$E$39,Setting!$A$30:$A$39,AM$4,Setting!$C$30:$C$39,"&lt;="&amp;($AK439-1),Setting!$D$30:$D$39,"&gt;="&amp;($AK439-1))</f>
        <v>148.4</v>
      </c>
    </row>
    <row r="440" ht="15.75" customHeight="1">
      <c r="AK440" s="14">
        <v>435.0</v>
      </c>
      <c r="AL440" s="14">
        <f>AL439+SUMIFS(Setting!$E$30:$E$39,Setting!$A$30:$A$39,AL$4,Setting!$C$30:$C$39,"&lt;="&amp;($AK440-1),Setting!$D$30:$D$39,"&gt;="&amp;($AK440-1))</f>
        <v>179.4</v>
      </c>
      <c r="AM440" s="14">
        <f>AM439+SUMIFS(Setting!$E$30:$E$39,Setting!$A$30:$A$39,AM$4,Setting!$C$30:$C$39,"&lt;="&amp;($AK440-1),Setting!$D$30:$D$39,"&gt;="&amp;($AK440-1))</f>
        <v>148.6</v>
      </c>
    </row>
    <row r="441" ht="15.75" customHeight="1">
      <c r="AK441" s="14">
        <v>436.0</v>
      </c>
      <c r="AL441" s="14">
        <f>AL440+SUMIFS(Setting!$E$30:$E$39,Setting!$A$30:$A$39,AL$4,Setting!$C$30:$C$39,"&lt;="&amp;($AK441-1),Setting!$D$30:$D$39,"&gt;="&amp;($AK441-1))</f>
        <v>179.6</v>
      </c>
      <c r="AM441" s="14">
        <f>AM440+SUMIFS(Setting!$E$30:$E$39,Setting!$A$30:$A$39,AM$4,Setting!$C$30:$C$39,"&lt;="&amp;($AK441-1),Setting!$D$30:$D$39,"&gt;="&amp;($AK441-1))</f>
        <v>148.8</v>
      </c>
    </row>
    <row r="442" ht="15.75" customHeight="1">
      <c r="AK442" s="14">
        <v>437.0</v>
      </c>
      <c r="AL442" s="14">
        <f>AL441+SUMIFS(Setting!$E$30:$E$39,Setting!$A$30:$A$39,AL$4,Setting!$C$30:$C$39,"&lt;="&amp;($AK442-1),Setting!$D$30:$D$39,"&gt;="&amp;($AK442-1))</f>
        <v>179.8</v>
      </c>
      <c r="AM442" s="14">
        <f>AM441+SUMIFS(Setting!$E$30:$E$39,Setting!$A$30:$A$39,AM$4,Setting!$C$30:$C$39,"&lt;="&amp;($AK442-1),Setting!$D$30:$D$39,"&gt;="&amp;($AK442-1))</f>
        <v>149</v>
      </c>
    </row>
    <row r="443" ht="15.75" customHeight="1">
      <c r="AK443" s="14">
        <v>438.0</v>
      </c>
      <c r="AL443" s="14">
        <f>AL442+SUMIFS(Setting!$E$30:$E$39,Setting!$A$30:$A$39,AL$4,Setting!$C$30:$C$39,"&lt;="&amp;($AK443-1),Setting!$D$30:$D$39,"&gt;="&amp;($AK443-1))</f>
        <v>180</v>
      </c>
      <c r="AM443" s="14">
        <f>AM442+SUMIFS(Setting!$E$30:$E$39,Setting!$A$30:$A$39,AM$4,Setting!$C$30:$C$39,"&lt;="&amp;($AK443-1),Setting!$D$30:$D$39,"&gt;="&amp;($AK443-1))</f>
        <v>149.2</v>
      </c>
    </row>
    <row r="444" ht="15.75" customHeight="1">
      <c r="AK444" s="14">
        <v>439.0</v>
      </c>
      <c r="AL444" s="14">
        <f>AL443+SUMIFS(Setting!$E$30:$E$39,Setting!$A$30:$A$39,AL$4,Setting!$C$30:$C$39,"&lt;="&amp;($AK444-1),Setting!$D$30:$D$39,"&gt;="&amp;($AK444-1))</f>
        <v>180.2</v>
      </c>
      <c r="AM444" s="14">
        <f>AM443+SUMIFS(Setting!$E$30:$E$39,Setting!$A$30:$A$39,AM$4,Setting!$C$30:$C$39,"&lt;="&amp;($AK444-1),Setting!$D$30:$D$39,"&gt;="&amp;($AK444-1))</f>
        <v>149.4</v>
      </c>
    </row>
    <row r="445" ht="15.75" customHeight="1">
      <c r="AK445" s="14">
        <v>440.0</v>
      </c>
      <c r="AL445" s="14">
        <f>AL444+SUMIFS(Setting!$E$30:$E$39,Setting!$A$30:$A$39,AL$4,Setting!$C$30:$C$39,"&lt;="&amp;($AK445-1),Setting!$D$30:$D$39,"&gt;="&amp;($AK445-1))</f>
        <v>180.4</v>
      </c>
      <c r="AM445" s="14">
        <f>AM444+SUMIFS(Setting!$E$30:$E$39,Setting!$A$30:$A$39,AM$4,Setting!$C$30:$C$39,"&lt;="&amp;($AK445-1),Setting!$D$30:$D$39,"&gt;="&amp;($AK445-1))</f>
        <v>149.6</v>
      </c>
    </row>
    <row r="446" ht="15.75" customHeight="1">
      <c r="AK446" s="14">
        <v>441.0</v>
      </c>
      <c r="AL446" s="14">
        <f>AL445+SUMIFS(Setting!$E$30:$E$39,Setting!$A$30:$A$39,AL$4,Setting!$C$30:$C$39,"&lt;="&amp;($AK446-1),Setting!$D$30:$D$39,"&gt;="&amp;($AK446-1))</f>
        <v>180.6</v>
      </c>
      <c r="AM446" s="14">
        <f>AM445+SUMIFS(Setting!$E$30:$E$39,Setting!$A$30:$A$39,AM$4,Setting!$C$30:$C$39,"&lt;="&amp;($AK446-1),Setting!$D$30:$D$39,"&gt;="&amp;($AK446-1))</f>
        <v>149.8</v>
      </c>
    </row>
    <row r="447" ht="15.75" customHeight="1">
      <c r="AK447" s="14">
        <v>442.0</v>
      </c>
      <c r="AL447" s="14">
        <f>AL446+SUMIFS(Setting!$E$30:$E$39,Setting!$A$30:$A$39,AL$4,Setting!$C$30:$C$39,"&lt;="&amp;($AK447-1),Setting!$D$30:$D$39,"&gt;="&amp;($AK447-1))</f>
        <v>180.8</v>
      </c>
      <c r="AM447" s="14">
        <f>AM446+SUMIFS(Setting!$E$30:$E$39,Setting!$A$30:$A$39,AM$4,Setting!$C$30:$C$39,"&lt;="&amp;($AK447-1),Setting!$D$30:$D$39,"&gt;="&amp;($AK447-1))</f>
        <v>150</v>
      </c>
    </row>
    <row r="448" ht="15.75" customHeight="1">
      <c r="AK448" s="14">
        <v>443.0</v>
      </c>
      <c r="AL448" s="14">
        <f>AL447+SUMIFS(Setting!$E$30:$E$39,Setting!$A$30:$A$39,AL$4,Setting!$C$30:$C$39,"&lt;="&amp;($AK448-1),Setting!$D$30:$D$39,"&gt;="&amp;($AK448-1))</f>
        <v>181</v>
      </c>
      <c r="AM448" s="14">
        <f>AM447+SUMIFS(Setting!$E$30:$E$39,Setting!$A$30:$A$39,AM$4,Setting!$C$30:$C$39,"&lt;="&amp;($AK448-1),Setting!$D$30:$D$39,"&gt;="&amp;($AK448-1))</f>
        <v>150.2</v>
      </c>
    </row>
    <row r="449" ht="15.75" customHeight="1">
      <c r="AK449" s="14">
        <v>444.0</v>
      </c>
      <c r="AL449" s="14">
        <f>AL448+SUMIFS(Setting!$E$30:$E$39,Setting!$A$30:$A$39,AL$4,Setting!$C$30:$C$39,"&lt;="&amp;($AK449-1),Setting!$D$30:$D$39,"&gt;="&amp;($AK449-1))</f>
        <v>181.2</v>
      </c>
      <c r="AM449" s="14">
        <f>AM448+SUMIFS(Setting!$E$30:$E$39,Setting!$A$30:$A$39,AM$4,Setting!$C$30:$C$39,"&lt;="&amp;($AK449-1),Setting!$D$30:$D$39,"&gt;="&amp;($AK449-1))</f>
        <v>150.4</v>
      </c>
    </row>
    <row r="450" ht="15.75" customHeight="1">
      <c r="AK450" s="14">
        <v>445.0</v>
      </c>
      <c r="AL450" s="14">
        <f>AL449+SUMIFS(Setting!$E$30:$E$39,Setting!$A$30:$A$39,AL$4,Setting!$C$30:$C$39,"&lt;="&amp;($AK450-1),Setting!$D$30:$D$39,"&gt;="&amp;($AK450-1))</f>
        <v>181.4</v>
      </c>
      <c r="AM450" s="14">
        <f>AM449+SUMIFS(Setting!$E$30:$E$39,Setting!$A$30:$A$39,AM$4,Setting!$C$30:$C$39,"&lt;="&amp;($AK450-1),Setting!$D$30:$D$39,"&gt;="&amp;($AK450-1))</f>
        <v>150.6</v>
      </c>
    </row>
    <row r="451" ht="15.75" customHeight="1">
      <c r="AK451" s="14">
        <v>446.0</v>
      </c>
      <c r="AL451" s="14">
        <f>AL450+SUMIFS(Setting!$E$30:$E$39,Setting!$A$30:$A$39,AL$4,Setting!$C$30:$C$39,"&lt;="&amp;($AK451-1),Setting!$D$30:$D$39,"&gt;="&amp;($AK451-1))</f>
        <v>181.6</v>
      </c>
      <c r="AM451" s="14">
        <f>AM450+SUMIFS(Setting!$E$30:$E$39,Setting!$A$30:$A$39,AM$4,Setting!$C$30:$C$39,"&lt;="&amp;($AK451-1),Setting!$D$30:$D$39,"&gt;="&amp;($AK451-1))</f>
        <v>150.8</v>
      </c>
    </row>
    <row r="452" ht="15.75" customHeight="1">
      <c r="AK452" s="14">
        <v>447.0</v>
      </c>
      <c r="AL452" s="14">
        <f>AL451+SUMIFS(Setting!$E$30:$E$39,Setting!$A$30:$A$39,AL$4,Setting!$C$30:$C$39,"&lt;="&amp;($AK452-1),Setting!$D$30:$D$39,"&gt;="&amp;($AK452-1))</f>
        <v>181.8</v>
      </c>
      <c r="AM452" s="14">
        <f>AM451+SUMIFS(Setting!$E$30:$E$39,Setting!$A$30:$A$39,AM$4,Setting!$C$30:$C$39,"&lt;="&amp;($AK452-1),Setting!$D$30:$D$39,"&gt;="&amp;($AK452-1))</f>
        <v>151</v>
      </c>
    </row>
    <row r="453" ht="15.75" customHeight="1">
      <c r="AK453" s="14">
        <v>448.0</v>
      </c>
      <c r="AL453" s="14">
        <f>AL452+SUMIFS(Setting!$E$30:$E$39,Setting!$A$30:$A$39,AL$4,Setting!$C$30:$C$39,"&lt;="&amp;($AK453-1),Setting!$D$30:$D$39,"&gt;="&amp;($AK453-1))</f>
        <v>182</v>
      </c>
      <c r="AM453" s="14">
        <f>AM452+SUMIFS(Setting!$E$30:$E$39,Setting!$A$30:$A$39,AM$4,Setting!$C$30:$C$39,"&lt;="&amp;($AK453-1),Setting!$D$30:$D$39,"&gt;="&amp;($AK453-1))</f>
        <v>151.2</v>
      </c>
    </row>
    <row r="454" ht="15.75" customHeight="1">
      <c r="AK454" s="14">
        <v>449.0</v>
      </c>
      <c r="AL454" s="14">
        <f>AL453+SUMIFS(Setting!$E$30:$E$39,Setting!$A$30:$A$39,AL$4,Setting!$C$30:$C$39,"&lt;="&amp;($AK454-1),Setting!$D$30:$D$39,"&gt;="&amp;($AK454-1))</f>
        <v>182.2</v>
      </c>
      <c r="AM454" s="14">
        <f>AM453+SUMIFS(Setting!$E$30:$E$39,Setting!$A$30:$A$39,AM$4,Setting!$C$30:$C$39,"&lt;="&amp;($AK454-1),Setting!$D$30:$D$39,"&gt;="&amp;($AK454-1))</f>
        <v>151.4</v>
      </c>
    </row>
    <row r="455" ht="15.75" customHeight="1">
      <c r="AK455" s="14">
        <v>450.0</v>
      </c>
      <c r="AL455" s="14">
        <f>AL454+SUMIFS(Setting!$E$30:$E$39,Setting!$A$30:$A$39,AL$4,Setting!$C$30:$C$39,"&lt;="&amp;($AK455-1),Setting!$D$30:$D$39,"&gt;="&amp;($AK455-1))</f>
        <v>182.4</v>
      </c>
      <c r="AM455" s="14">
        <f>AM454+SUMIFS(Setting!$E$30:$E$39,Setting!$A$30:$A$39,AM$4,Setting!$C$30:$C$39,"&lt;="&amp;($AK455-1),Setting!$D$30:$D$39,"&gt;="&amp;($AK455-1))</f>
        <v>151.6</v>
      </c>
    </row>
    <row r="456" ht="15.75" customHeight="1">
      <c r="AK456" s="14">
        <v>451.0</v>
      </c>
      <c r="AL456" s="14">
        <f>AL455+SUMIFS(Setting!$E$30:$E$39,Setting!$A$30:$A$39,AL$4,Setting!$C$30:$C$39,"&lt;="&amp;($AK456-1),Setting!$D$30:$D$39,"&gt;="&amp;($AK456-1))</f>
        <v>182.6</v>
      </c>
      <c r="AM456" s="14">
        <f>AM455+SUMIFS(Setting!$E$30:$E$39,Setting!$A$30:$A$39,AM$4,Setting!$C$30:$C$39,"&lt;="&amp;($AK456-1),Setting!$D$30:$D$39,"&gt;="&amp;($AK456-1))</f>
        <v>151.8</v>
      </c>
    </row>
    <row r="457" ht="15.75" customHeight="1">
      <c r="AK457" s="14">
        <v>452.0</v>
      </c>
      <c r="AL457" s="14">
        <f>AL456+SUMIFS(Setting!$E$30:$E$39,Setting!$A$30:$A$39,AL$4,Setting!$C$30:$C$39,"&lt;="&amp;($AK457-1),Setting!$D$30:$D$39,"&gt;="&amp;($AK457-1))</f>
        <v>182.8</v>
      </c>
      <c r="AM457" s="14">
        <f>AM456+SUMIFS(Setting!$E$30:$E$39,Setting!$A$30:$A$39,AM$4,Setting!$C$30:$C$39,"&lt;="&amp;($AK457-1),Setting!$D$30:$D$39,"&gt;="&amp;($AK457-1))</f>
        <v>152</v>
      </c>
    </row>
    <row r="458" ht="15.75" customHeight="1">
      <c r="AK458" s="14">
        <v>453.0</v>
      </c>
      <c r="AL458" s="14">
        <f>AL457+SUMIFS(Setting!$E$30:$E$39,Setting!$A$30:$A$39,AL$4,Setting!$C$30:$C$39,"&lt;="&amp;($AK458-1),Setting!$D$30:$D$39,"&gt;="&amp;($AK458-1))</f>
        <v>183</v>
      </c>
      <c r="AM458" s="14">
        <f>AM457+SUMIFS(Setting!$E$30:$E$39,Setting!$A$30:$A$39,AM$4,Setting!$C$30:$C$39,"&lt;="&amp;($AK458-1),Setting!$D$30:$D$39,"&gt;="&amp;($AK458-1))</f>
        <v>152.2</v>
      </c>
    </row>
    <row r="459" ht="15.75" customHeight="1">
      <c r="AK459" s="14">
        <v>454.0</v>
      </c>
      <c r="AL459" s="14">
        <f>AL458+SUMIFS(Setting!$E$30:$E$39,Setting!$A$30:$A$39,AL$4,Setting!$C$30:$C$39,"&lt;="&amp;($AK459-1),Setting!$D$30:$D$39,"&gt;="&amp;($AK459-1))</f>
        <v>183.2</v>
      </c>
      <c r="AM459" s="14">
        <f>AM458+SUMIFS(Setting!$E$30:$E$39,Setting!$A$30:$A$39,AM$4,Setting!$C$30:$C$39,"&lt;="&amp;($AK459-1),Setting!$D$30:$D$39,"&gt;="&amp;($AK459-1))</f>
        <v>152.4</v>
      </c>
    </row>
    <row r="460" ht="15.75" customHeight="1">
      <c r="AK460" s="14">
        <v>455.0</v>
      </c>
      <c r="AL460" s="14">
        <f>AL459+SUMIFS(Setting!$E$30:$E$39,Setting!$A$30:$A$39,AL$4,Setting!$C$30:$C$39,"&lt;="&amp;($AK460-1),Setting!$D$30:$D$39,"&gt;="&amp;($AK460-1))</f>
        <v>183.4</v>
      </c>
      <c r="AM460" s="14">
        <f>AM459+SUMIFS(Setting!$E$30:$E$39,Setting!$A$30:$A$39,AM$4,Setting!$C$30:$C$39,"&lt;="&amp;($AK460-1),Setting!$D$30:$D$39,"&gt;="&amp;($AK460-1))</f>
        <v>152.6</v>
      </c>
    </row>
    <row r="461" ht="15.75" customHeight="1">
      <c r="AK461" s="14">
        <v>456.0</v>
      </c>
      <c r="AL461" s="14">
        <f>AL460+SUMIFS(Setting!$E$30:$E$39,Setting!$A$30:$A$39,AL$4,Setting!$C$30:$C$39,"&lt;="&amp;($AK461-1),Setting!$D$30:$D$39,"&gt;="&amp;($AK461-1))</f>
        <v>183.6</v>
      </c>
      <c r="AM461" s="14">
        <f>AM460+SUMIFS(Setting!$E$30:$E$39,Setting!$A$30:$A$39,AM$4,Setting!$C$30:$C$39,"&lt;="&amp;($AK461-1),Setting!$D$30:$D$39,"&gt;="&amp;($AK461-1))</f>
        <v>152.8</v>
      </c>
    </row>
    <row r="462" ht="15.75" customHeight="1">
      <c r="AK462" s="14">
        <v>457.0</v>
      </c>
      <c r="AL462" s="14">
        <f>AL461+SUMIFS(Setting!$E$30:$E$39,Setting!$A$30:$A$39,AL$4,Setting!$C$30:$C$39,"&lt;="&amp;($AK462-1),Setting!$D$30:$D$39,"&gt;="&amp;($AK462-1))</f>
        <v>183.8</v>
      </c>
      <c r="AM462" s="14">
        <f>AM461+SUMIFS(Setting!$E$30:$E$39,Setting!$A$30:$A$39,AM$4,Setting!$C$30:$C$39,"&lt;="&amp;($AK462-1),Setting!$D$30:$D$39,"&gt;="&amp;($AK462-1))</f>
        <v>153</v>
      </c>
    </row>
    <row r="463" ht="15.75" customHeight="1">
      <c r="AK463" s="14">
        <v>458.0</v>
      </c>
      <c r="AL463" s="14">
        <f>AL462+SUMIFS(Setting!$E$30:$E$39,Setting!$A$30:$A$39,AL$4,Setting!$C$30:$C$39,"&lt;="&amp;($AK463-1),Setting!$D$30:$D$39,"&gt;="&amp;($AK463-1))</f>
        <v>184</v>
      </c>
      <c r="AM463" s="14">
        <f>AM462+SUMIFS(Setting!$E$30:$E$39,Setting!$A$30:$A$39,AM$4,Setting!$C$30:$C$39,"&lt;="&amp;($AK463-1),Setting!$D$30:$D$39,"&gt;="&amp;($AK463-1))</f>
        <v>153.2</v>
      </c>
    </row>
    <row r="464" ht="15.75" customHeight="1">
      <c r="AK464" s="14">
        <v>459.0</v>
      </c>
      <c r="AL464" s="14">
        <f>AL463+SUMIFS(Setting!$E$30:$E$39,Setting!$A$30:$A$39,AL$4,Setting!$C$30:$C$39,"&lt;="&amp;($AK464-1),Setting!$D$30:$D$39,"&gt;="&amp;($AK464-1))</f>
        <v>184.2</v>
      </c>
      <c r="AM464" s="14">
        <f>AM463+SUMIFS(Setting!$E$30:$E$39,Setting!$A$30:$A$39,AM$4,Setting!$C$30:$C$39,"&lt;="&amp;($AK464-1),Setting!$D$30:$D$39,"&gt;="&amp;($AK464-1))</f>
        <v>153.4</v>
      </c>
    </row>
    <row r="465" ht="15.75" customHeight="1">
      <c r="AK465" s="14">
        <v>460.0</v>
      </c>
      <c r="AL465" s="14">
        <f>AL464+SUMIFS(Setting!$E$30:$E$39,Setting!$A$30:$A$39,AL$4,Setting!$C$30:$C$39,"&lt;="&amp;($AK465-1),Setting!$D$30:$D$39,"&gt;="&amp;($AK465-1))</f>
        <v>184.4</v>
      </c>
      <c r="AM465" s="14">
        <f>AM464+SUMIFS(Setting!$E$30:$E$39,Setting!$A$30:$A$39,AM$4,Setting!$C$30:$C$39,"&lt;="&amp;($AK465-1),Setting!$D$30:$D$39,"&gt;="&amp;($AK465-1))</f>
        <v>153.6</v>
      </c>
    </row>
    <row r="466" ht="15.75" customHeight="1">
      <c r="AK466" s="14">
        <v>461.0</v>
      </c>
      <c r="AL466" s="14">
        <f>AL465+SUMIFS(Setting!$E$30:$E$39,Setting!$A$30:$A$39,AL$4,Setting!$C$30:$C$39,"&lt;="&amp;($AK466-1),Setting!$D$30:$D$39,"&gt;="&amp;($AK466-1))</f>
        <v>184.6</v>
      </c>
      <c r="AM466" s="14">
        <f>AM465+SUMIFS(Setting!$E$30:$E$39,Setting!$A$30:$A$39,AM$4,Setting!$C$30:$C$39,"&lt;="&amp;($AK466-1),Setting!$D$30:$D$39,"&gt;="&amp;($AK466-1))</f>
        <v>153.8</v>
      </c>
    </row>
    <row r="467" ht="15.75" customHeight="1">
      <c r="AK467" s="14">
        <v>462.0</v>
      </c>
      <c r="AL467" s="14">
        <f>AL466+SUMIFS(Setting!$E$30:$E$39,Setting!$A$30:$A$39,AL$4,Setting!$C$30:$C$39,"&lt;="&amp;($AK467-1),Setting!$D$30:$D$39,"&gt;="&amp;($AK467-1))</f>
        <v>184.8</v>
      </c>
      <c r="AM467" s="14">
        <f>AM466+SUMIFS(Setting!$E$30:$E$39,Setting!$A$30:$A$39,AM$4,Setting!$C$30:$C$39,"&lt;="&amp;($AK467-1),Setting!$D$30:$D$39,"&gt;="&amp;($AK467-1))</f>
        <v>154</v>
      </c>
    </row>
    <row r="468" ht="15.75" customHeight="1">
      <c r="AK468" s="14">
        <v>463.0</v>
      </c>
      <c r="AL468" s="14">
        <f>AL467+SUMIFS(Setting!$E$30:$E$39,Setting!$A$30:$A$39,AL$4,Setting!$C$30:$C$39,"&lt;="&amp;($AK468-1),Setting!$D$30:$D$39,"&gt;="&amp;($AK468-1))</f>
        <v>185</v>
      </c>
      <c r="AM468" s="14">
        <f>AM467+SUMIFS(Setting!$E$30:$E$39,Setting!$A$30:$A$39,AM$4,Setting!$C$30:$C$39,"&lt;="&amp;($AK468-1),Setting!$D$30:$D$39,"&gt;="&amp;($AK468-1))</f>
        <v>154.2</v>
      </c>
    </row>
    <row r="469" ht="15.75" customHeight="1">
      <c r="AK469" s="14">
        <v>464.0</v>
      </c>
      <c r="AL469" s="14">
        <f>AL468+SUMIFS(Setting!$E$30:$E$39,Setting!$A$30:$A$39,AL$4,Setting!$C$30:$C$39,"&lt;="&amp;($AK469-1),Setting!$D$30:$D$39,"&gt;="&amp;($AK469-1))</f>
        <v>185.2</v>
      </c>
      <c r="AM469" s="14">
        <f>AM468+SUMIFS(Setting!$E$30:$E$39,Setting!$A$30:$A$39,AM$4,Setting!$C$30:$C$39,"&lt;="&amp;($AK469-1),Setting!$D$30:$D$39,"&gt;="&amp;($AK469-1))</f>
        <v>154.4</v>
      </c>
    </row>
    <row r="470" ht="15.75" customHeight="1">
      <c r="AK470" s="14">
        <v>465.0</v>
      </c>
      <c r="AL470" s="14">
        <f>AL469+SUMIFS(Setting!$E$30:$E$39,Setting!$A$30:$A$39,AL$4,Setting!$C$30:$C$39,"&lt;="&amp;($AK470-1),Setting!$D$30:$D$39,"&gt;="&amp;($AK470-1))</f>
        <v>185.4</v>
      </c>
      <c r="AM470" s="14">
        <f>AM469+SUMIFS(Setting!$E$30:$E$39,Setting!$A$30:$A$39,AM$4,Setting!$C$30:$C$39,"&lt;="&amp;($AK470-1),Setting!$D$30:$D$39,"&gt;="&amp;($AK470-1))</f>
        <v>154.6</v>
      </c>
    </row>
    <row r="471" ht="15.75" customHeight="1">
      <c r="AK471" s="14">
        <v>466.0</v>
      </c>
      <c r="AL471" s="14">
        <f>AL470+SUMIFS(Setting!$E$30:$E$39,Setting!$A$30:$A$39,AL$4,Setting!$C$30:$C$39,"&lt;="&amp;($AK471-1),Setting!$D$30:$D$39,"&gt;="&amp;($AK471-1))</f>
        <v>185.6</v>
      </c>
      <c r="AM471" s="14">
        <f>AM470+SUMIFS(Setting!$E$30:$E$39,Setting!$A$30:$A$39,AM$4,Setting!$C$30:$C$39,"&lt;="&amp;($AK471-1),Setting!$D$30:$D$39,"&gt;="&amp;($AK471-1))</f>
        <v>154.8</v>
      </c>
    </row>
    <row r="472" ht="15.75" customHeight="1">
      <c r="AK472" s="14">
        <v>467.0</v>
      </c>
      <c r="AL472" s="14">
        <f>AL471+SUMIFS(Setting!$E$30:$E$39,Setting!$A$30:$A$39,AL$4,Setting!$C$30:$C$39,"&lt;="&amp;($AK472-1),Setting!$D$30:$D$39,"&gt;="&amp;($AK472-1))</f>
        <v>185.8</v>
      </c>
      <c r="AM472" s="14">
        <f>AM471+SUMIFS(Setting!$E$30:$E$39,Setting!$A$30:$A$39,AM$4,Setting!$C$30:$C$39,"&lt;="&amp;($AK472-1),Setting!$D$30:$D$39,"&gt;="&amp;($AK472-1))</f>
        <v>155</v>
      </c>
    </row>
    <row r="473" ht="15.75" customHeight="1">
      <c r="AK473" s="14">
        <v>468.0</v>
      </c>
      <c r="AL473" s="14">
        <f>AL472+SUMIFS(Setting!$E$30:$E$39,Setting!$A$30:$A$39,AL$4,Setting!$C$30:$C$39,"&lt;="&amp;($AK473-1),Setting!$D$30:$D$39,"&gt;="&amp;($AK473-1))</f>
        <v>186</v>
      </c>
      <c r="AM473" s="14">
        <f>AM472+SUMIFS(Setting!$E$30:$E$39,Setting!$A$30:$A$39,AM$4,Setting!$C$30:$C$39,"&lt;="&amp;($AK473-1),Setting!$D$30:$D$39,"&gt;="&amp;($AK473-1))</f>
        <v>155.2</v>
      </c>
    </row>
    <row r="474" ht="15.75" customHeight="1">
      <c r="AK474" s="14">
        <v>469.0</v>
      </c>
      <c r="AL474" s="14">
        <f>AL473+SUMIFS(Setting!$E$30:$E$39,Setting!$A$30:$A$39,AL$4,Setting!$C$30:$C$39,"&lt;="&amp;($AK474-1),Setting!$D$30:$D$39,"&gt;="&amp;($AK474-1))</f>
        <v>186.2</v>
      </c>
      <c r="AM474" s="14">
        <f>AM473+SUMIFS(Setting!$E$30:$E$39,Setting!$A$30:$A$39,AM$4,Setting!$C$30:$C$39,"&lt;="&amp;($AK474-1),Setting!$D$30:$D$39,"&gt;="&amp;($AK474-1))</f>
        <v>155.4</v>
      </c>
    </row>
    <row r="475" ht="15.75" customHeight="1">
      <c r="AK475" s="14">
        <v>470.0</v>
      </c>
      <c r="AL475" s="14">
        <f>AL474+SUMIFS(Setting!$E$30:$E$39,Setting!$A$30:$A$39,AL$4,Setting!$C$30:$C$39,"&lt;="&amp;($AK475-1),Setting!$D$30:$D$39,"&gt;="&amp;($AK475-1))</f>
        <v>186.4</v>
      </c>
      <c r="AM475" s="14">
        <f>AM474+SUMIFS(Setting!$E$30:$E$39,Setting!$A$30:$A$39,AM$4,Setting!$C$30:$C$39,"&lt;="&amp;($AK475-1),Setting!$D$30:$D$39,"&gt;="&amp;($AK475-1))</f>
        <v>155.6</v>
      </c>
    </row>
    <row r="476" ht="15.75" customHeight="1">
      <c r="AK476" s="14">
        <v>471.0</v>
      </c>
      <c r="AL476" s="14">
        <f>AL475+SUMIFS(Setting!$E$30:$E$39,Setting!$A$30:$A$39,AL$4,Setting!$C$30:$C$39,"&lt;="&amp;($AK476-1),Setting!$D$30:$D$39,"&gt;="&amp;($AK476-1))</f>
        <v>186.6</v>
      </c>
      <c r="AM476" s="14">
        <f>AM475+SUMIFS(Setting!$E$30:$E$39,Setting!$A$30:$A$39,AM$4,Setting!$C$30:$C$39,"&lt;="&amp;($AK476-1),Setting!$D$30:$D$39,"&gt;="&amp;($AK476-1))</f>
        <v>155.8</v>
      </c>
    </row>
    <row r="477" ht="15.75" customHeight="1">
      <c r="AK477" s="14">
        <v>472.0</v>
      </c>
      <c r="AL477" s="14">
        <f>AL476+SUMIFS(Setting!$E$30:$E$39,Setting!$A$30:$A$39,AL$4,Setting!$C$30:$C$39,"&lt;="&amp;($AK477-1),Setting!$D$30:$D$39,"&gt;="&amp;($AK477-1))</f>
        <v>186.8</v>
      </c>
      <c r="AM477" s="14">
        <f>AM476+SUMIFS(Setting!$E$30:$E$39,Setting!$A$30:$A$39,AM$4,Setting!$C$30:$C$39,"&lt;="&amp;($AK477-1),Setting!$D$30:$D$39,"&gt;="&amp;($AK477-1))</f>
        <v>156</v>
      </c>
    </row>
    <row r="478" ht="15.75" customHeight="1">
      <c r="AK478" s="14">
        <v>473.0</v>
      </c>
      <c r="AL478" s="14">
        <f>AL477+SUMIFS(Setting!$E$30:$E$39,Setting!$A$30:$A$39,AL$4,Setting!$C$30:$C$39,"&lt;="&amp;($AK478-1),Setting!$D$30:$D$39,"&gt;="&amp;($AK478-1))</f>
        <v>187</v>
      </c>
      <c r="AM478" s="14">
        <f>AM477+SUMIFS(Setting!$E$30:$E$39,Setting!$A$30:$A$39,AM$4,Setting!$C$30:$C$39,"&lt;="&amp;($AK478-1),Setting!$D$30:$D$39,"&gt;="&amp;($AK478-1))</f>
        <v>156.2</v>
      </c>
    </row>
    <row r="479" ht="15.75" customHeight="1">
      <c r="AK479" s="14">
        <v>474.0</v>
      </c>
      <c r="AL479" s="14">
        <f>AL478+SUMIFS(Setting!$E$30:$E$39,Setting!$A$30:$A$39,AL$4,Setting!$C$30:$C$39,"&lt;="&amp;($AK479-1),Setting!$D$30:$D$39,"&gt;="&amp;($AK479-1))</f>
        <v>187.2</v>
      </c>
      <c r="AM479" s="14">
        <f>AM478+SUMIFS(Setting!$E$30:$E$39,Setting!$A$30:$A$39,AM$4,Setting!$C$30:$C$39,"&lt;="&amp;($AK479-1),Setting!$D$30:$D$39,"&gt;="&amp;($AK479-1))</f>
        <v>156.4</v>
      </c>
    </row>
    <row r="480" ht="15.75" customHeight="1">
      <c r="AK480" s="14">
        <v>475.0</v>
      </c>
      <c r="AL480" s="14">
        <f>AL479+SUMIFS(Setting!$E$30:$E$39,Setting!$A$30:$A$39,AL$4,Setting!$C$30:$C$39,"&lt;="&amp;($AK480-1),Setting!$D$30:$D$39,"&gt;="&amp;($AK480-1))</f>
        <v>187.4</v>
      </c>
      <c r="AM480" s="14">
        <f>AM479+SUMIFS(Setting!$E$30:$E$39,Setting!$A$30:$A$39,AM$4,Setting!$C$30:$C$39,"&lt;="&amp;($AK480-1),Setting!$D$30:$D$39,"&gt;="&amp;($AK480-1))</f>
        <v>156.6</v>
      </c>
    </row>
    <row r="481" ht="15.75" customHeight="1">
      <c r="AK481" s="14">
        <v>476.0</v>
      </c>
      <c r="AL481" s="14">
        <f>AL480+SUMIFS(Setting!$E$30:$E$39,Setting!$A$30:$A$39,AL$4,Setting!$C$30:$C$39,"&lt;="&amp;($AK481-1),Setting!$D$30:$D$39,"&gt;="&amp;($AK481-1))</f>
        <v>187.6</v>
      </c>
      <c r="AM481" s="14">
        <f>AM480+SUMIFS(Setting!$E$30:$E$39,Setting!$A$30:$A$39,AM$4,Setting!$C$30:$C$39,"&lt;="&amp;($AK481-1),Setting!$D$30:$D$39,"&gt;="&amp;($AK481-1))</f>
        <v>156.8</v>
      </c>
    </row>
    <row r="482" ht="15.75" customHeight="1">
      <c r="AK482" s="14">
        <v>477.0</v>
      </c>
      <c r="AL482" s="14">
        <f>AL481+SUMIFS(Setting!$E$30:$E$39,Setting!$A$30:$A$39,AL$4,Setting!$C$30:$C$39,"&lt;="&amp;($AK482-1),Setting!$D$30:$D$39,"&gt;="&amp;($AK482-1))</f>
        <v>187.8</v>
      </c>
      <c r="AM482" s="14">
        <f>AM481+SUMIFS(Setting!$E$30:$E$39,Setting!$A$30:$A$39,AM$4,Setting!$C$30:$C$39,"&lt;="&amp;($AK482-1),Setting!$D$30:$D$39,"&gt;="&amp;($AK482-1))</f>
        <v>157</v>
      </c>
    </row>
    <row r="483" ht="15.75" customHeight="1">
      <c r="AK483" s="14">
        <v>478.0</v>
      </c>
      <c r="AL483" s="14">
        <f>AL482+SUMIFS(Setting!$E$30:$E$39,Setting!$A$30:$A$39,AL$4,Setting!$C$30:$C$39,"&lt;="&amp;($AK483-1),Setting!$D$30:$D$39,"&gt;="&amp;($AK483-1))</f>
        <v>188</v>
      </c>
      <c r="AM483" s="14">
        <f>AM482+SUMIFS(Setting!$E$30:$E$39,Setting!$A$30:$A$39,AM$4,Setting!$C$30:$C$39,"&lt;="&amp;($AK483-1),Setting!$D$30:$D$39,"&gt;="&amp;($AK483-1))</f>
        <v>157.2</v>
      </c>
    </row>
    <row r="484" ht="15.75" customHeight="1">
      <c r="AK484" s="14">
        <v>479.0</v>
      </c>
      <c r="AL484" s="14">
        <f>AL483+SUMIFS(Setting!$E$30:$E$39,Setting!$A$30:$A$39,AL$4,Setting!$C$30:$C$39,"&lt;="&amp;($AK484-1),Setting!$D$30:$D$39,"&gt;="&amp;($AK484-1))</f>
        <v>188.2</v>
      </c>
      <c r="AM484" s="14">
        <f>AM483+SUMIFS(Setting!$E$30:$E$39,Setting!$A$30:$A$39,AM$4,Setting!$C$30:$C$39,"&lt;="&amp;($AK484-1),Setting!$D$30:$D$39,"&gt;="&amp;($AK484-1))</f>
        <v>157.4</v>
      </c>
    </row>
    <row r="485" ht="15.75" customHeight="1">
      <c r="AK485" s="14">
        <v>480.0</v>
      </c>
      <c r="AL485" s="14">
        <f>AL484+SUMIFS(Setting!$E$30:$E$39,Setting!$A$30:$A$39,AL$4,Setting!$C$30:$C$39,"&lt;="&amp;($AK485-1),Setting!$D$30:$D$39,"&gt;="&amp;($AK485-1))</f>
        <v>188.4</v>
      </c>
      <c r="AM485" s="14">
        <f>AM484+SUMIFS(Setting!$E$30:$E$39,Setting!$A$30:$A$39,AM$4,Setting!$C$30:$C$39,"&lt;="&amp;($AK485-1),Setting!$D$30:$D$39,"&gt;="&amp;($AK485-1))</f>
        <v>157.6</v>
      </c>
    </row>
    <row r="486" ht="15.75" customHeight="1">
      <c r="AK486" s="14">
        <v>481.0</v>
      </c>
      <c r="AL486" s="14">
        <f>AL485+SUMIFS(Setting!$E$30:$E$39,Setting!$A$30:$A$39,AL$4,Setting!$C$30:$C$39,"&lt;="&amp;($AK486-1),Setting!$D$30:$D$39,"&gt;="&amp;($AK486-1))</f>
        <v>188.6</v>
      </c>
      <c r="AM486" s="14">
        <f>AM485+SUMIFS(Setting!$E$30:$E$39,Setting!$A$30:$A$39,AM$4,Setting!$C$30:$C$39,"&lt;="&amp;($AK486-1),Setting!$D$30:$D$39,"&gt;="&amp;($AK486-1))</f>
        <v>157.8</v>
      </c>
    </row>
    <row r="487" ht="15.75" customHeight="1">
      <c r="AK487" s="14">
        <v>482.0</v>
      </c>
      <c r="AL487" s="14">
        <f>AL486+SUMIFS(Setting!$E$30:$E$39,Setting!$A$30:$A$39,AL$4,Setting!$C$30:$C$39,"&lt;="&amp;($AK487-1),Setting!$D$30:$D$39,"&gt;="&amp;($AK487-1))</f>
        <v>188.8</v>
      </c>
      <c r="AM487" s="14">
        <f>AM486+SUMIFS(Setting!$E$30:$E$39,Setting!$A$30:$A$39,AM$4,Setting!$C$30:$C$39,"&lt;="&amp;($AK487-1),Setting!$D$30:$D$39,"&gt;="&amp;($AK487-1))</f>
        <v>158</v>
      </c>
    </row>
    <row r="488" ht="15.75" customHeight="1">
      <c r="AK488" s="14">
        <v>483.0</v>
      </c>
      <c r="AL488" s="14">
        <f>AL487+SUMIFS(Setting!$E$30:$E$39,Setting!$A$30:$A$39,AL$4,Setting!$C$30:$C$39,"&lt;="&amp;($AK488-1),Setting!$D$30:$D$39,"&gt;="&amp;($AK488-1))</f>
        <v>189</v>
      </c>
      <c r="AM488" s="14">
        <f>AM487+SUMIFS(Setting!$E$30:$E$39,Setting!$A$30:$A$39,AM$4,Setting!$C$30:$C$39,"&lt;="&amp;($AK488-1),Setting!$D$30:$D$39,"&gt;="&amp;($AK488-1))</f>
        <v>158.2</v>
      </c>
    </row>
    <row r="489" ht="15.75" customHeight="1">
      <c r="AK489" s="14">
        <v>484.0</v>
      </c>
      <c r="AL489" s="14">
        <f>AL488+SUMIFS(Setting!$E$30:$E$39,Setting!$A$30:$A$39,AL$4,Setting!$C$30:$C$39,"&lt;="&amp;($AK489-1),Setting!$D$30:$D$39,"&gt;="&amp;($AK489-1))</f>
        <v>189.2</v>
      </c>
      <c r="AM489" s="14">
        <f>AM488+SUMIFS(Setting!$E$30:$E$39,Setting!$A$30:$A$39,AM$4,Setting!$C$30:$C$39,"&lt;="&amp;($AK489-1),Setting!$D$30:$D$39,"&gt;="&amp;($AK489-1))</f>
        <v>158.4</v>
      </c>
    </row>
    <row r="490" ht="15.75" customHeight="1">
      <c r="AK490" s="14">
        <v>485.0</v>
      </c>
      <c r="AL490" s="14">
        <f>AL489+SUMIFS(Setting!$E$30:$E$39,Setting!$A$30:$A$39,AL$4,Setting!$C$30:$C$39,"&lt;="&amp;($AK490-1),Setting!$D$30:$D$39,"&gt;="&amp;($AK490-1))</f>
        <v>189.4</v>
      </c>
      <c r="AM490" s="14">
        <f>AM489+SUMIFS(Setting!$E$30:$E$39,Setting!$A$30:$A$39,AM$4,Setting!$C$30:$C$39,"&lt;="&amp;($AK490-1),Setting!$D$30:$D$39,"&gt;="&amp;($AK490-1))</f>
        <v>158.6</v>
      </c>
    </row>
    <row r="491" ht="15.75" customHeight="1">
      <c r="AK491" s="14">
        <v>486.0</v>
      </c>
      <c r="AL491" s="14">
        <f>AL490+SUMIFS(Setting!$E$30:$E$39,Setting!$A$30:$A$39,AL$4,Setting!$C$30:$C$39,"&lt;="&amp;($AK491-1),Setting!$D$30:$D$39,"&gt;="&amp;($AK491-1))</f>
        <v>189.6</v>
      </c>
      <c r="AM491" s="14">
        <f>AM490+SUMIFS(Setting!$E$30:$E$39,Setting!$A$30:$A$39,AM$4,Setting!$C$30:$C$39,"&lt;="&amp;($AK491-1),Setting!$D$30:$D$39,"&gt;="&amp;($AK491-1))</f>
        <v>158.8</v>
      </c>
    </row>
    <row r="492" ht="15.75" customHeight="1">
      <c r="AK492" s="14">
        <v>487.0</v>
      </c>
      <c r="AL492" s="14">
        <f>AL491+SUMIFS(Setting!$E$30:$E$39,Setting!$A$30:$A$39,AL$4,Setting!$C$30:$C$39,"&lt;="&amp;($AK492-1),Setting!$D$30:$D$39,"&gt;="&amp;($AK492-1))</f>
        <v>189.8</v>
      </c>
      <c r="AM492" s="14">
        <f>AM491+SUMIFS(Setting!$E$30:$E$39,Setting!$A$30:$A$39,AM$4,Setting!$C$30:$C$39,"&lt;="&amp;($AK492-1),Setting!$D$30:$D$39,"&gt;="&amp;($AK492-1))</f>
        <v>159</v>
      </c>
    </row>
    <row r="493" ht="15.75" customHeight="1">
      <c r="AK493" s="14">
        <v>488.0</v>
      </c>
      <c r="AL493" s="14">
        <f>AL492+SUMIFS(Setting!$E$30:$E$39,Setting!$A$30:$A$39,AL$4,Setting!$C$30:$C$39,"&lt;="&amp;($AK493-1),Setting!$D$30:$D$39,"&gt;="&amp;($AK493-1))</f>
        <v>190</v>
      </c>
      <c r="AM493" s="14">
        <f>AM492+SUMIFS(Setting!$E$30:$E$39,Setting!$A$30:$A$39,AM$4,Setting!$C$30:$C$39,"&lt;="&amp;($AK493-1),Setting!$D$30:$D$39,"&gt;="&amp;($AK493-1))</f>
        <v>159.2</v>
      </c>
    </row>
    <row r="494" ht="15.75" customHeight="1">
      <c r="AK494" s="14">
        <v>489.0</v>
      </c>
      <c r="AL494" s="14">
        <f>AL493+SUMIFS(Setting!$E$30:$E$39,Setting!$A$30:$A$39,AL$4,Setting!$C$30:$C$39,"&lt;="&amp;($AK494-1),Setting!$D$30:$D$39,"&gt;="&amp;($AK494-1))</f>
        <v>190.2</v>
      </c>
      <c r="AM494" s="14">
        <f>AM493+SUMIFS(Setting!$E$30:$E$39,Setting!$A$30:$A$39,AM$4,Setting!$C$30:$C$39,"&lt;="&amp;($AK494-1),Setting!$D$30:$D$39,"&gt;="&amp;($AK494-1))</f>
        <v>159.4</v>
      </c>
    </row>
    <row r="495" ht="15.75" customHeight="1">
      <c r="AK495" s="14">
        <v>490.0</v>
      </c>
      <c r="AL495" s="14">
        <f>AL494+SUMIFS(Setting!$E$30:$E$39,Setting!$A$30:$A$39,AL$4,Setting!$C$30:$C$39,"&lt;="&amp;($AK495-1),Setting!$D$30:$D$39,"&gt;="&amp;($AK495-1))</f>
        <v>190.4</v>
      </c>
      <c r="AM495" s="14">
        <f>AM494+SUMIFS(Setting!$E$30:$E$39,Setting!$A$30:$A$39,AM$4,Setting!$C$30:$C$39,"&lt;="&amp;($AK495-1),Setting!$D$30:$D$39,"&gt;="&amp;($AK495-1))</f>
        <v>159.6</v>
      </c>
    </row>
    <row r="496" ht="15.75" customHeight="1">
      <c r="AK496" s="14">
        <v>491.0</v>
      </c>
      <c r="AL496" s="14">
        <f>AL495+SUMIFS(Setting!$E$30:$E$39,Setting!$A$30:$A$39,AL$4,Setting!$C$30:$C$39,"&lt;="&amp;($AK496-1),Setting!$D$30:$D$39,"&gt;="&amp;($AK496-1))</f>
        <v>190.6</v>
      </c>
      <c r="AM496" s="14">
        <f>AM495+SUMIFS(Setting!$E$30:$E$39,Setting!$A$30:$A$39,AM$4,Setting!$C$30:$C$39,"&lt;="&amp;($AK496-1),Setting!$D$30:$D$39,"&gt;="&amp;($AK496-1))</f>
        <v>159.8</v>
      </c>
    </row>
    <row r="497" ht="15.75" customHeight="1">
      <c r="AK497" s="14">
        <v>492.0</v>
      </c>
      <c r="AL497" s="14">
        <f>AL496+SUMIFS(Setting!$E$30:$E$39,Setting!$A$30:$A$39,AL$4,Setting!$C$30:$C$39,"&lt;="&amp;($AK497-1),Setting!$D$30:$D$39,"&gt;="&amp;($AK497-1))</f>
        <v>190.8</v>
      </c>
      <c r="AM497" s="14">
        <f>AM496+SUMIFS(Setting!$E$30:$E$39,Setting!$A$30:$A$39,AM$4,Setting!$C$30:$C$39,"&lt;="&amp;($AK497-1),Setting!$D$30:$D$39,"&gt;="&amp;($AK497-1))</f>
        <v>160</v>
      </c>
    </row>
    <row r="498" ht="15.75" customHeight="1">
      <c r="AK498" s="14">
        <v>493.0</v>
      </c>
      <c r="AL498" s="14">
        <f>AL497+SUMIFS(Setting!$E$30:$E$39,Setting!$A$30:$A$39,AL$4,Setting!$C$30:$C$39,"&lt;="&amp;($AK498-1),Setting!$D$30:$D$39,"&gt;="&amp;($AK498-1))</f>
        <v>191</v>
      </c>
      <c r="AM498" s="14">
        <f>AM497+SUMIFS(Setting!$E$30:$E$39,Setting!$A$30:$A$39,AM$4,Setting!$C$30:$C$39,"&lt;="&amp;($AK498-1),Setting!$D$30:$D$39,"&gt;="&amp;($AK498-1))</f>
        <v>160.2</v>
      </c>
    </row>
    <row r="499" ht="15.75" customHeight="1">
      <c r="AK499" s="14">
        <v>494.0</v>
      </c>
      <c r="AL499" s="14">
        <f>AL498+SUMIFS(Setting!$E$30:$E$39,Setting!$A$30:$A$39,AL$4,Setting!$C$30:$C$39,"&lt;="&amp;($AK499-1),Setting!$D$30:$D$39,"&gt;="&amp;($AK499-1))</f>
        <v>191.2</v>
      </c>
      <c r="AM499" s="14">
        <f>AM498+SUMIFS(Setting!$E$30:$E$39,Setting!$A$30:$A$39,AM$4,Setting!$C$30:$C$39,"&lt;="&amp;($AK499-1),Setting!$D$30:$D$39,"&gt;="&amp;($AK499-1))</f>
        <v>160.4</v>
      </c>
    </row>
    <row r="500" ht="15.75" customHeight="1">
      <c r="AK500" s="14">
        <v>495.0</v>
      </c>
      <c r="AL500" s="14">
        <f>AL499+SUMIFS(Setting!$E$30:$E$39,Setting!$A$30:$A$39,AL$4,Setting!$C$30:$C$39,"&lt;="&amp;($AK500-1),Setting!$D$30:$D$39,"&gt;="&amp;($AK500-1))</f>
        <v>191.4</v>
      </c>
      <c r="AM500" s="14">
        <f>AM499+SUMIFS(Setting!$E$30:$E$39,Setting!$A$30:$A$39,AM$4,Setting!$C$30:$C$39,"&lt;="&amp;($AK500-1),Setting!$D$30:$D$39,"&gt;="&amp;($AK500-1))</f>
        <v>160.6</v>
      </c>
    </row>
    <row r="501" ht="15.75" customHeight="1">
      <c r="AK501" s="14">
        <v>496.0</v>
      </c>
      <c r="AL501" s="14">
        <f>AL500+SUMIFS(Setting!$E$30:$E$39,Setting!$A$30:$A$39,AL$4,Setting!$C$30:$C$39,"&lt;="&amp;($AK501-1),Setting!$D$30:$D$39,"&gt;="&amp;($AK501-1))</f>
        <v>191.6</v>
      </c>
      <c r="AM501" s="14">
        <f>AM500+SUMIFS(Setting!$E$30:$E$39,Setting!$A$30:$A$39,AM$4,Setting!$C$30:$C$39,"&lt;="&amp;($AK501-1),Setting!$D$30:$D$39,"&gt;="&amp;($AK501-1))</f>
        <v>160.8</v>
      </c>
    </row>
    <row r="502" ht="15.75" customHeight="1">
      <c r="AK502" s="14">
        <v>497.0</v>
      </c>
      <c r="AL502" s="14">
        <f>AL501+SUMIFS(Setting!$E$30:$E$39,Setting!$A$30:$A$39,AL$4,Setting!$C$30:$C$39,"&lt;="&amp;($AK502-1),Setting!$D$30:$D$39,"&gt;="&amp;($AK502-1))</f>
        <v>191.8</v>
      </c>
      <c r="AM502" s="14">
        <f>AM501+SUMIFS(Setting!$E$30:$E$39,Setting!$A$30:$A$39,AM$4,Setting!$C$30:$C$39,"&lt;="&amp;($AK502-1),Setting!$D$30:$D$39,"&gt;="&amp;($AK502-1))</f>
        <v>161</v>
      </c>
    </row>
    <row r="503" ht="15.75" customHeight="1">
      <c r="AK503" s="14">
        <v>498.0</v>
      </c>
      <c r="AL503" s="14">
        <f>AL502+SUMIFS(Setting!$E$30:$E$39,Setting!$A$30:$A$39,AL$4,Setting!$C$30:$C$39,"&lt;="&amp;($AK503-1),Setting!$D$30:$D$39,"&gt;="&amp;($AK503-1))</f>
        <v>192</v>
      </c>
      <c r="AM503" s="14">
        <f>AM502+SUMIFS(Setting!$E$30:$E$39,Setting!$A$30:$A$39,AM$4,Setting!$C$30:$C$39,"&lt;="&amp;($AK503-1),Setting!$D$30:$D$39,"&gt;="&amp;($AK503-1))</f>
        <v>161.2</v>
      </c>
    </row>
    <row r="504" ht="15.75" customHeight="1">
      <c r="AK504" s="14">
        <v>499.0</v>
      </c>
      <c r="AL504" s="14">
        <f>AL503+SUMIFS(Setting!$E$30:$E$39,Setting!$A$30:$A$39,AL$4,Setting!$C$30:$C$39,"&lt;="&amp;($AK504-1),Setting!$D$30:$D$39,"&gt;="&amp;($AK504-1))</f>
        <v>192.2</v>
      </c>
      <c r="AM504" s="14">
        <f>AM503+SUMIFS(Setting!$E$30:$E$39,Setting!$A$30:$A$39,AM$4,Setting!$C$30:$C$39,"&lt;="&amp;($AK504-1),Setting!$D$30:$D$39,"&gt;="&amp;($AK504-1))</f>
        <v>161.4</v>
      </c>
    </row>
    <row r="505" ht="15.75" customHeight="1">
      <c r="AK505" s="14">
        <v>500.0</v>
      </c>
      <c r="AL505" s="14">
        <f>AL504+SUMIFS(Setting!$E$30:$E$39,Setting!$A$30:$A$39,AL$4,Setting!$C$30:$C$39,"&lt;="&amp;($AK505-1),Setting!$D$30:$D$39,"&gt;="&amp;($AK505-1))</f>
        <v>192.4</v>
      </c>
      <c r="AM505" s="14">
        <f>AM504+SUMIFS(Setting!$E$30:$E$39,Setting!$A$30:$A$39,AM$4,Setting!$C$30:$C$39,"&lt;="&amp;($AK505-1),Setting!$D$30:$D$39,"&gt;="&amp;($AK505-1))</f>
        <v>161.6</v>
      </c>
    </row>
    <row r="506" ht="15.75" customHeight="1">
      <c r="AK506" s="14">
        <v>501.0</v>
      </c>
      <c r="AL506" s="14">
        <f>AL505+SUMIFS(Setting!$E$30:$E$39,Setting!$A$30:$A$39,AL$4,Setting!$C$30:$C$39,"&lt;="&amp;($AK506-1),Setting!$D$30:$D$39,"&gt;="&amp;($AK506-1))</f>
        <v>192.6</v>
      </c>
      <c r="AM506" s="14">
        <f>AM505+SUMIFS(Setting!$E$30:$E$39,Setting!$A$30:$A$39,AM$4,Setting!$C$30:$C$39,"&lt;="&amp;($AK506-1),Setting!$D$30:$D$39,"&gt;="&amp;($AK506-1))</f>
        <v>161.8</v>
      </c>
    </row>
    <row r="507" ht="15.75" customHeight="1">
      <c r="AK507" s="14">
        <v>502.0</v>
      </c>
      <c r="AL507" s="14">
        <f>AL506+SUMIFS(Setting!$E$30:$E$39,Setting!$A$30:$A$39,AL$4,Setting!$C$30:$C$39,"&lt;="&amp;($AK507-1),Setting!$D$30:$D$39,"&gt;="&amp;($AK507-1))</f>
        <v>192.8</v>
      </c>
      <c r="AM507" s="14">
        <f>AM506+SUMIFS(Setting!$E$30:$E$39,Setting!$A$30:$A$39,AM$4,Setting!$C$30:$C$39,"&lt;="&amp;($AK507-1),Setting!$D$30:$D$39,"&gt;="&amp;($AK507-1))</f>
        <v>162</v>
      </c>
    </row>
    <row r="508" ht="15.75" customHeight="1">
      <c r="AK508" s="14">
        <v>503.0</v>
      </c>
      <c r="AL508" s="14">
        <f>AL507+SUMIFS(Setting!$E$30:$E$39,Setting!$A$30:$A$39,AL$4,Setting!$C$30:$C$39,"&lt;="&amp;($AK508-1),Setting!$D$30:$D$39,"&gt;="&amp;($AK508-1))</f>
        <v>193</v>
      </c>
      <c r="AM508" s="14">
        <f>AM507+SUMIFS(Setting!$E$30:$E$39,Setting!$A$30:$A$39,AM$4,Setting!$C$30:$C$39,"&lt;="&amp;($AK508-1),Setting!$D$30:$D$39,"&gt;="&amp;($AK508-1))</f>
        <v>162.2</v>
      </c>
    </row>
    <row r="509" ht="15.75" customHeight="1">
      <c r="AK509" s="14">
        <v>504.0</v>
      </c>
      <c r="AL509" s="14">
        <f>AL508+SUMIFS(Setting!$E$30:$E$39,Setting!$A$30:$A$39,AL$4,Setting!$C$30:$C$39,"&lt;="&amp;($AK509-1),Setting!$D$30:$D$39,"&gt;="&amp;($AK509-1))</f>
        <v>193.2</v>
      </c>
      <c r="AM509" s="14">
        <f>AM508+SUMIFS(Setting!$E$30:$E$39,Setting!$A$30:$A$39,AM$4,Setting!$C$30:$C$39,"&lt;="&amp;($AK509-1),Setting!$D$30:$D$39,"&gt;="&amp;($AK509-1))</f>
        <v>162.4</v>
      </c>
    </row>
    <row r="510" ht="15.75" customHeight="1">
      <c r="AK510" s="14">
        <v>505.0</v>
      </c>
      <c r="AL510" s="14">
        <f>AL509+SUMIFS(Setting!$E$30:$E$39,Setting!$A$30:$A$39,AL$4,Setting!$C$30:$C$39,"&lt;="&amp;($AK510-1),Setting!$D$30:$D$39,"&gt;="&amp;($AK510-1))</f>
        <v>193.4</v>
      </c>
      <c r="AM510" s="14">
        <f>AM509+SUMIFS(Setting!$E$30:$E$39,Setting!$A$30:$A$39,AM$4,Setting!$C$30:$C$39,"&lt;="&amp;($AK510-1),Setting!$D$30:$D$39,"&gt;="&amp;($AK510-1))</f>
        <v>162.6</v>
      </c>
    </row>
    <row r="511" ht="15.75" customHeight="1">
      <c r="AK511" s="14">
        <v>506.0</v>
      </c>
      <c r="AL511" s="14">
        <f>AL510+SUMIFS(Setting!$E$30:$E$39,Setting!$A$30:$A$39,AL$4,Setting!$C$30:$C$39,"&lt;="&amp;($AK511-1),Setting!$D$30:$D$39,"&gt;="&amp;($AK511-1))</f>
        <v>193.6</v>
      </c>
      <c r="AM511" s="14">
        <f>AM510+SUMIFS(Setting!$E$30:$E$39,Setting!$A$30:$A$39,AM$4,Setting!$C$30:$C$39,"&lt;="&amp;($AK511-1),Setting!$D$30:$D$39,"&gt;="&amp;($AK511-1))</f>
        <v>162.8</v>
      </c>
    </row>
    <row r="512" ht="15.75" customHeight="1">
      <c r="AK512" s="14">
        <v>507.0</v>
      </c>
      <c r="AL512" s="14">
        <f>AL511+SUMIFS(Setting!$E$30:$E$39,Setting!$A$30:$A$39,AL$4,Setting!$C$30:$C$39,"&lt;="&amp;($AK512-1),Setting!$D$30:$D$39,"&gt;="&amp;($AK512-1))</f>
        <v>193.8</v>
      </c>
      <c r="AM512" s="14">
        <f>AM511+SUMIFS(Setting!$E$30:$E$39,Setting!$A$30:$A$39,AM$4,Setting!$C$30:$C$39,"&lt;="&amp;($AK512-1),Setting!$D$30:$D$39,"&gt;="&amp;($AK512-1))</f>
        <v>163</v>
      </c>
    </row>
    <row r="513" ht="15.75" customHeight="1">
      <c r="AK513" s="14">
        <v>508.0</v>
      </c>
      <c r="AL513" s="14">
        <f>AL512+SUMIFS(Setting!$E$30:$E$39,Setting!$A$30:$A$39,AL$4,Setting!$C$30:$C$39,"&lt;="&amp;($AK513-1),Setting!$D$30:$D$39,"&gt;="&amp;($AK513-1))</f>
        <v>194</v>
      </c>
      <c r="AM513" s="14">
        <f>AM512+SUMIFS(Setting!$E$30:$E$39,Setting!$A$30:$A$39,AM$4,Setting!$C$30:$C$39,"&lt;="&amp;($AK513-1),Setting!$D$30:$D$39,"&gt;="&amp;($AK513-1))</f>
        <v>163.2</v>
      </c>
    </row>
    <row r="514" ht="15.75" customHeight="1">
      <c r="AK514" s="14">
        <v>509.0</v>
      </c>
      <c r="AL514" s="14">
        <f>AL513+SUMIFS(Setting!$E$30:$E$39,Setting!$A$30:$A$39,AL$4,Setting!$C$30:$C$39,"&lt;="&amp;($AK514-1),Setting!$D$30:$D$39,"&gt;="&amp;($AK514-1))</f>
        <v>194.2</v>
      </c>
      <c r="AM514" s="14">
        <f>AM513+SUMIFS(Setting!$E$30:$E$39,Setting!$A$30:$A$39,AM$4,Setting!$C$30:$C$39,"&lt;="&amp;($AK514-1),Setting!$D$30:$D$39,"&gt;="&amp;($AK514-1))</f>
        <v>163.4</v>
      </c>
    </row>
    <row r="515" ht="15.75" customHeight="1">
      <c r="AK515" s="14">
        <v>510.0</v>
      </c>
      <c r="AL515" s="14">
        <f>AL514+SUMIFS(Setting!$E$30:$E$39,Setting!$A$30:$A$39,AL$4,Setting!$C$30:$C$39,"&lt;="&amp;($AK515-1),Setting!$D$30:$D$39,"&gt;="&amp;($AK515-1))</f>
        <v>194.4</v>
      </c>
      <c r="AM515" s="14">
        <f>AM514+SUMIFS(Setting!$E$30:$E$39,Setting!$A$30:$A$39,AM$4,Setting!$C$30:$C$39,"&lt;="&amp;($AK515-1),Setting!$D$30:$D$39,"&gt;="&amp;($AK515-1))</f>
        <v>163.6</v>
      </c>
    </row>
    <row r="516" ht="15.75" customHeight="1">
      <c r="AK516" s="14">
        <v>511.0</v>
      </c>
      <c r="AL516" s="14">
        <f>AL515+SUMIFS(Setting!$E$30:$E$39,Setting!$A$30:$A$39,AL$4,Setting!$C$30:$C$39,"&lt;="&amp;($AK516-1),Setting!$D$30:$D$39,"&gt;="&amp;($AK516-1))</f>
        <v>194.6</v>
      </c>
      <c r="AM516" s="14">
        <f>AM515+SUMIFS(Setting!$E$30:$E$39,Setting!$A$30:$A$39,AM$4,Setting!$C$30:$C$39,"&lt;="&amp;($AK516-1),Setting!$D$30:$D$39,"&gt;="&amp;($AK516-1))</f>
        <v>163.8</v>
      </c>
    </row>
    <row r="517" ht="15.75" customHeight="1">
      <c r="AK517" s="14">
        <v>512.0</v>
      </c>
      <c r="AL517" s="14">
        <f>AL516+SUMIFS(Setting!$E$30:$E$39,Setting!$A$30:$A$39,AL$4,Setting!$C$30:$C$39,"&lt;="&amp;($AK517-1),Setting!$D$30:$D$39,"&gt;="&amp;($AK517-1))</f>
        <v>194.8</v>
      </c>
      <c r="AM517" s="14">
        <f>AM516+SUMIFS(Setting!$E$30:$E$39,Setting!$A$30:$A$39,AM$4,Setting!$C$30:$C$39,"&lt;="&amp;($AK517-1),Setting!$D$30:$D$39,"&gt;="&amp;($AK517-1))</f>
        <v>164</v>
      </c>
    </row>
    <row r="518" ht="15.75" customHeight="1">
      <c r="AK518" s="14">
        <v>513.0</v>
      </c>
      <c r="AL518" s="14">
        <f>AL517+SUMIFS(Setting!$E$30:$E$39,Setting!$A$30:$A$39,AL$4,Setting!$C$30:$C$39,"&lt;="&amp;($AK518-1),Setting!$D$30:$D$39,"&gt;="&amp;($AK518-1))</f>
        <v>195</v>
      </c>
      <c r="AM518" s="14">
        <f>AM517+SUMIFS(Setting!$E$30:$E$39,Setting!$A$30:$A$39,AM$4,Setting!$C$30:$C$39,"&lt;="&amp;($AK518-1),Setting!$D$30:$D$39,"&gt;="&amp;($AK518-1))</f>
        <v>164.2</v>
      </c>
    </row>
    <row r="519" ht="15.75" customHeight="1">
      <c r="AK519" s="14">
        <v>514.0</v>
      </c>
      <c r="AL519" s="14">
        <f>AL518+SUMIFS(Setting!$E$30:$E$39,Setting!$A$30:$A$39,AL$4,Setting!$C$30:$C$39,"&lt;="&amp;($AK519-1),Setting!$D$30:$D$39,"&gt;="&amp;($AK519-1))</f>
        <v>195.2</v>
      </c>
      <c r="AM519" s="14">
        <f>AM518+SUMIFS(Setting!$E$30:$E$39,Setting!$A$30:$A$39,AM$4,Setting!$C$30:$C$39,"&lt;="&amp;($AK519-1),Setting!$D$30:$D$39,"&gt;="&amp;($AK519-1))</f>
        <v>164.4</v>
      </c>
    </row>
    <row r="520" ht="15.75" customHeight="1">
      <c r="AK520" s="14">
        <v>515.0</v>
      </c>
      <c r="AL520" s="14">
        <f>AL519+SUMIFS(Setting!$E$30:$E$39,Setting!$A$30:$A$39,AL$4,Setting!$C$30:$C$39,"&lt;="&amp;($AK520-1),Setting!$D$30:$D$39,"&gt;="&amp;($AK520-1))</f>
        <v>195.4</v>
      </c>
      <c r="AM520" s="14">
        <f>AM519+SUMIFS(Setting!$E$30:$E$39,Setting!$A$30:$A$39,AM$4,Setting!$C$30:$C$39,"&lt;="&amp;($AK520-1),Setting!$D$30:$D$39,"&gt;="&amp;($AK520-1))</f>
        <v>164.6</v>
      </c>
    </row>
    <row r="521" ht="15.75" customHeight="1">
      <c r="AK521" s="14">
        <v>516.0</v>
      </c>
      <c r="AL521" s="14">
        <f>AL520+SUMIFS(Setting!$E$30:$E$39,Setting!$A$30:$A$39,AL$4,Setting!$C$30:$C$39,"&lt;="&amp;($AK521-1),Setting!$D$30:$D$39,"&gt;="&amp;($AK521-1))</f>
        <v>195.6</v>
      </c>
      <c r="AM521" s="14">
        <f>AM520+SUMIFS(Setting!$E$30:$E$39,Setting!$A$30:$A$39,AM$4,Setting!$C$30:$C$39,"&lt;="&amp;($AK521-1),Setting!$D$30:$D$39,"&gt;="&amp;($AK521-1))</f>
        <v>164.8</v>
      </c>
    </row>
    <row r="522" ht="15.75" customHeight="1">
      <c r="AK522" s="14">
        <v>517.0</v>
      </c>
      <c r="AL522" s="14">
        <f>AL521+SUMIFS(Setting!$E$30:$E$39,Setting!$A$30:$A$39,AL$4,Setting!$C$30:$C$39,"&lt;="&amp;($AK522-1),Setting!$D$30:$D$39,"&gt;="&amp;($AK522-1))</f>
        <v>195.8</v>
      </c>
      <c r="AM522" s="14">
        <f>AM521+SUMIFS(Setting!$E$30:$E$39,Setting!$A$30:$A$39,AM$4,Setting!$C$30:$C$39,"&lt;="&amp;($AK522-1),Setting!$D$30:$D$39,"&gt;="&amp;($AK522-1))</f>
        <v>165</v>
      </c>
    </row>
    <row r="523" ht="15.75" customHeight="1">
      <c r="AK523" s="14">
        <v>518.0</v>
      </c>
      <c r="AL523" s="14">
        <f>AL522+SUMIFS(Setting!$E$30:$E$39,Setting!$A$30:$A$39,AL$4,Setting!$C$30:$C$39,"&lt;="&amp;($AK523-1),Setting!$D$30:$D$39,"&gt;="&amp;($AK523-1))</f>
        <v>196</v>
      </c>
      <c r="AM523" s="14">
        <f>AM522+SUMIFS(Setting!$E$30:$E$39,Setting!$A$30:$A$39,AM$4,Setting!$C$30:$C$39,"&lt;="&amp;($AK523-1),Setting!$D$30:$D$39,"&gt;="&amp;($AK523-1))</f>
        <v>165.2</v>
      </c>
    </row>
    <row r="524" ht="15.75" customHeight="1">
      <c r="AK524" s="14">
        <v>519.0</v>
      </c>
      <c r="AL524" s="14">
        <f>AL523+SUMIFS(Setting!$E$30:$E$39,Setting!$A$30:$A$39,AL$4,Setting!$C$30:$C$39,"&lt;="&amp;($AK524-1),Setting!$D$30:$D$39,"&gt;="&amp;($AK524-1))</f>
        <v>196.2</v>
      </c>
      <c r="AM524" s="14">
        <f>AM523+SUMIFS(Setting!$E$30:$E$39,Setting!$A$30:$A$39,AM$4,Setting!$C$30:$C$39,"&lt;="&amp;($AK524-1),Setting!$D$30:$D$39,"&gt;="&amp;($AK524-1))</f>
        <v>165.4</v>
      </c>
    </row>
    <row r="525" ht="15.75" customHeight="1">
      <c r="AK525" s="14">
        <v>520.0</v>
      </c>
      <c r="AL525" s="14">
        <f>AL524+SUMIFS(Setting!$E$30:$E$39,Setting!$A$30:$A$39,AL$4,Setting!$C$30:$C$39,"&lt;="&amp;($AK525-1),Setting!$D$30:$D$39,"&gt;="&amp;($AK525-1))</f>
        <v>196.4</v>
      </c>
      <c r="AM525" s="14">
        <f>AM524+SUMIFS(Setting!$E$30:$E$39,Setting!$A$30:$A$39,AM$4,Setting!$C$30:$C$39,"&lt;="&amp;($AK525-1),Setting!$D$30:$D$39,"&gt;="&amp;($AK525-1))</f>
        <v>165.6</v>
      </c>
    </row>
    <row r="526" ht="15.75" customHeight="1">
      <c r="AK526" s="14">
        <v>521.0</v>
      </c>
      <c r="AL526" s="14">
        <f>AL525+SUMIFS(Setting!$E$30:$E$39,Setting!$A$30:$A$39,AL$4,Setting!$C$30:$C$39,"&lt;="&amp;($AK526-1),Setting!$D$30:$D$39,"&gt;="&amp;($AK526-1))</f>
        <v>196.6</v>
      </c>
      <c r="AM526" s="14">
        <f>AM525+SUMIFS(Setting!$E$30:$E$39,Setting!$A$30:$A$39,AM$4,Setting!$C$30:$C$39,"&lt;="&amp;($AK526-1),Setting!$D$30:$D$39,"&gt;="&amp;($AK526-1))</f>
        <v>165.8</v>
      </c>
    </row>
    <row r="527" ht="15.75" customHeight="1">
      <c r="AK527" s="14">
        <v>522.0</v>
      </c>
      <c r="AL527" s="14">
        <f>AL526+SUMIFS(Setting!$E$30:$E$39,Setting!$A$30:$A$39,AL$4,Setting!$C$30:$C$39,"&lt;="&amp;($AK527-1),Setting!$D$30:$D$39,"&gt;="&amp;($AK527-1))</f>
        <v>196.8</v>
      </c>
      <c r="AM527" s="14">
        <f>AM526+SUMIFS(Setting!$E$30:$E$39,Setting!$A$30:$A$39,AM$4,Setting!$C$30:$C$39,"&lt;="&amp;($AK527-1),Setting!$D$30:$D$39,"&gt;="&amp;($AK527-1))</f>
        <v>166</v>
      </c>
    </row>
    <row r="528" ht="15.75" customHeight="1">
      <c r="AK528" s="14">
        <v>523.0</v>
      </c>
      <c r="AL528" s="14">
        <f>AL527+SUMIFS(Setting!$E$30:$E$39,Setting!$A$30:$A$39,AL$4,Setting!$C$30:$C$39,"&lt;="&amp;($AK528-1),Setting!$D$30:$D$39,"&gt;="&amp;($AK528-1))</f>
        <v>197</v>
      </c>
      <c r="AM528" s="14">
        <f>AM527+SUMIFS(Setting!$E$30:$E$39,Setting!$A$30:$A$39,AM$4,Setting!$C$30:$C$39,"&lt;="&amp;($AK528-1),Setting!$D$30:$D$39,"&gt;="&amp;($AK528-1))</f>
        <v>166.2</v>
      </c>
    </row>
    <row r="529" ht="15.75" customHeight="1">
      <c r="AK529" s="14">
        <v>524.0</v>
      </c>
      <c r="AL529" s="14">
        <f>AL528+SUMIFS(Setting!$E$30:$E$39,Setting!$A$30:$A$39,AL$4,Setting!$C$30:$C$39,"&lt;="&amp;($AK529-1),Setting!$D$30:$D$39,"&gt;="&amp;($AK529-1))</f>
        <v>197.2</v>
      </c>
      <c r="AM529" s="14">
        <f>AM528+SUMIFS(Setting!$E$30:$E$39,Setting!$A$30:$A$39,AM$4,Setting!$C$30:$C$39,"&lt;="&amp;($AK529-1),Setting!$D$30:$D$39,"&gt;="&amp;($AK529-1))</f>
        <v>166.4</v>
      </c>
    </row>
    <row r="530" ht="15.75" customHeight="1">
      <c r="AK530" s="14">
        <v>525.0</v>
      </c>
      <c r="AL530" s="14">
        <f>AL529+SUMIFS(Setting!$E$30:$E$39,Setting!$A$30:$A$39,AL$4,Setting!$C$30:$C$39,"&lt;="&amp;($AK530-1),Setting!$D$30:$D$39,"&gt;="&amp;($AK530-1))</f>
        <v>197.4</v>
      </c>
      <c r="AM530" s="14">
        <f>AM529+SUMIFS(Setting!$E$30:$E$39,Setting!$A$30:$A$39,AM$4,Setting!$C$30:$C$39,"&lt;="&amp;($AK530-1),Setting!$D$30:$D$39,"&gt;="&amp;($AK530-1))</f>
        <v>166.6</v>
      </c>
    </row>
    <row r="531" ht="15.75" customHeight="1">
      <c r="AK531" s="14">
        <v>526.0</v>
      </c>
      <c r="AL531" s="14">
        <f>AL530+SUMIFS(Setting!$E$30:$E$39,Setting!$A$30:$A$39,AL$4,Setting!$C$30:$C$39,"&lt;="&amp;($AK531-1),Setting!$D$30:$D$39,"&gt;="&amp;($AK531-1))</f>
        <v>197.6</v>
      </c>
      <c r="AM531" s="14">
        <f>AM530+SUMIFS(Setting!$E$30:$E$39,Setting!$A$30:$A$39,AM$4,Setting!$C$30:$C$39,"&lt;="&amp;($AK531-1),Setting!$D$30:$D$39,"&gt;="&amp;($AK531-1))</f>
        <v>166.8</v>
      </c>
    </row>
    <row r="532" ht="15.75" customHeight="1">
      <c r="AK532" s="14">
        <v>527.0</v>
      </c>
      <c r="AL532" s="14">
        <f>AL531+SUMIFS(Setting!$E$30:$E$39,Setting!$A$30:$A$39,AL$4,Setting!$C$30:$C$39,"&lt;="&amp;($AK532-1),Setting!$D$30:$D$39,"&gt;="&amp;($AK532-1))</f>
        <v>197.8</v>
      </c>
      <c r="AM532" s="14">
        <f>AM531+SUMIFS(Setting!$E$30:$E$39,Setting!$A$30:$A$39,AM$4,Setting!$C$30:$C$39,"&lt;="&amp;($AK532-1),Setting!$D$30:$D$39,"&gt;="&amp;($AK532-1))</f>
        <v>167</v>
      </c>
    </row>
    <row r="533" ht="15.75" customHeight="1">
      <c r="AK533" s="14">
        <v>528.0</v>
      </c>
      <c r="AL533" s="14">
        <f>AL532+SUMIFS(Setting!$E$30:$E$39,Setting!$A$30:$A$39,AL$4,Setting!$C$30:$C$39,"&lt;="&amp;($AK533-1),Setting!$D$30:$D$39,"&gt;="&amp;($AK533-1))</f>
        <v>198</v>
      </c>
      <c r="AM533" s="14">
        <f>AM532+SUMIFS(Setting!$E$30:$E$39,Setting!$A$30:$A$39,AM$4,Setting!$C$30:$C$39,"&lt;="&amp;($AK533-1),Setting!$D$30:$D$39,"&gt;="&amp;($AK533-1))</f>
        <v>167.2</v>
      </c>
    </row>
    <row r="534" ht="15.75" customHeight="1">
      <c r="AK534" s="14">
        <v>529.0</v>
      </c>
      <c r="AL534" s="14">
        <f>AL533+SUMIFS(Setting!$E$30:$E$39,Setting!$A$30:$A$39,AL$4,Setting!$C$30:$C$39,"&lt;="&amp;($AK534-1),Setting!$D$30:$D$39,"&gt;="&amp;($AK534-1))</f>
        <v>198.2</v>
      </c>
      <c r="AM534" s="14">
        <f>AM533+SUMIFS(Setting!$E$30:$E$39,Setting!$A$30:$A$39,AM$4,Setting!$C$30:$C$39,"&lt;="&amp;($AK534-1),Setting!$D$30:$D$39,"&gt;="&amp;($AK534-1))</f>
        <v>167.4</v>
      </c>
    </row>
    <row r="535" ht="15.75" customHeight="1">
      <c r="AK535" s="14">
        <v>530.0</v>
      </c>
      <c r="AL535" s="14">
        <f>AL534+SUMIFS(Setting!$E$30:$E$39,Setting!$A$30:$A$39,AL$4,Setting!$C$30:$C$39,"&lt;="&amp;($AK535-1),Setting!$D$30:$D$39,"&gt;="&amp;($AK535-1))</f>
        <v>198.4</v>
      </c>
      <c r="AM535" s="14">
        <f>AM534+SUMIFS(Setting!$E$30:$E$39,Setting!$A$30:$A$39,AM$4,Setting!$C$30:$C$39,"&lt;="&amp;($AK535-1),Setting!$D$30:$D$39,"&gt;="&amp;($AK535-1))</f>
        <v>167.6</v>
      </c>
    </row>
    <row r="536" ht="15.75" customHeight="1">
      <c r="AK536" s="14">
        <v>531.0</v>
      </c>
      <c r="AL536" s="14">
        <f>AL535+SUMIFS(Setting!$E$30:$E$39,Setting!$A$30:$A$39,AL$4,Setting!$C$30:$C$39,"&lt;="&amp;($AK536-1),Setting!$D$30:$D$39,"&gt;="&amp;($AK536-1))</f>
        <v>198.6</v>
      </c>
      <c r="AM536" s="14">
        <f>AM535+SUMIFS(Setting!$E$30:$E$39,Setting!$A$30:$A$39,AM$4,Setting!$C$30:$C$39,"&lt;="&amp;($AK536-1),Setting!$D$30:$D$39,"&gt;="&amp;($AK536-1))</f>
        <v>167.8</v>
      </c>
    </row>
    <row r="537" ht="15.75" customHeight="1">
      <c r="AK537" s="14">
        <v>532.0</v>
      </c>
      <c r="AL537" s="14">
        <f>AL536+SUMIFS(Setting!$E$30:$E$39,Setting!$A$30:$A$39,AL$4,Setting!$C$30:$C$39,"&lt;="&amp;($AK537-1),Setting!$D$30:$D$39,"&gt;="&amp;($AK537-1))</f>
        <v>198.8</v>
      </c>
      <c r="AM537" s="14">
        <f>AM536+SUMIFS(Setting!$E$30:$E$39,Setting!$A$30:$A$39,AM$4,Setting!$C$30:$C$39,"&lt;="&amp;($AK537-1),Setting!$D$30:$D$39,"&gt;="&amp;($AK537-1))</f>
        <v>168</v>
      </c>
    </row>
    <row r="538" ht="15.75" customHeight="1">
      <c r="AK538" s="14">
        <v>533.0</v>
      </c>
      <c r="AL538" s="14">
        <f>AL537+SUMIFS(Setting!$E$30:$E$39,Setting!$A$30:$A$39,AL$4,Setting!$C$30:$C$39,"&lt;="&amp;($AK538-1),Setting!$D$30:$D$39,"&gt;="&amp;($AK538-1))</f>
        <v>199</v>
      </c>
      <c r="AM538" s="14">
        <f>AM537+SUMIFS(Setting!$E$30:$E$39,Setting!$A$30:$A$39,AM$4,Setting!$C$30:$C$39,"&lt;="&amp;($AK538-1),Setting!$D$30:$D$39,"&gt;="&amp;($AK538-1))</f>
        <v>168.2</v>
      </c>
    </row>
    <row r="539" ht="15.75" customHeight="1">
      <c r="AK539" s="14">
        <v>534.0</v>
      </c>
      <c r="AL539" s="14">
        <f>AL538+SUMIFS(Setting!$E$30:$E$39,Setting!$A$30:$A$39,AL$4,Setting!$C$30:$C$39,"&lt;="&amp;($AK539-1),Setting!$D$30:$D$39,"&gt;="&amp;($AK539-1))</f>
        <v>199.2</v>
      </c>
      <c r="AM539" s="14">
        <f>AM538+SUMIFS(Setting!$E$30:$E$39,Setting!$A$30:$A$39,AM$4,Setting!$C$30:$C$39,"&lt;="&amp;($AK539-1),Setting!$D$30:$D$39,"&gt;="&amp;($AK539-1))</f>
        <v>168.4</v>
      </c>
    </row>
    <row r="540" ht="15.75" customHeight="1">
      <c r="AK540" s="14">
        <v>535.0</v>
      </c>
      <c r="AL540" s="14">
        <f>AL539+SUMIFS(Setting!$E$30:$E$39,Setting!$A$30:$A$39,AL$4,Setting!$C$30:$C$39,"&lt;="&amp;($AK540-1),Setting!$D$30:$D$39,"&gt;="&amp;($AK540-1))</f>
        <v>199.4</v>
      </c>
      <c r="AM540" s="14">
        <f>AM539+SUMIFS(Setting!$E$30:$E$39,Setting!$A$30:$A$39,AM$4,Setting!$C$30:$C$39,"&lt;="&amp;($AK540-1),Setting!$D$30:$D$39,"&gt;="&amp;($AK540-1))</f>
        <v>168.6</v>
      </c>
    </row>
    <row r="541" ht="15.75" customHeight="1">
      <c r="AK541" s="14">
        <v>536.0</v>
      </c>
      <c r="AL541" s="14">
        <f>AL540+SUMIFS(Setting!$E$30:$E$39,Setting!$A$30:$A$39,AL$4,Setting!$C$30:$C$39,"&lt;="&amp;($AK541-1),Setting!$D$30:$D$39,"&gt;="&amp;($AK541-1))</f>
        <v>199.6</v>
      </c>
      <c r="AM541" s="14">
        <f>AM540+SUMIFS(Setting!$E$30:$E$39,Setting!$A$30:$A$39,AM$4,Setting!$C$30:$C$39,"&lt;="&amp;($AK541-1),Setting!$D$30:$D$39,"&gt;="&amp;($AK541-1))</f>
        <v>168.8</v>
      </c>
    </row>
    <row r="542" ht="15.75" customHeight="1">
      <c r="AK542" s="14">
        <v>537.0</v>
      </c>
      <c r="AL542" s="14">
        <f>AL541+SUMIFS(Setting!$E$30:$E$39,Setting!$A$30:$A$39,AL$4,Setting!$C$30:$C$39,"&lt;="&amp;($AK542-1),Setting!$D$30:$D$39,"&gt;="&amp;($AK542-1))</f>
        <v>199.8</v>
      </c>
      <c r="AM542" s="14">
        <f>AM541+SUMIFS(Setting!$E$30:$E$39,Setting!$A$30:$A$39,AM$4,Setting!$C$30:$C$39,"&lt;="&amp;($AK542-1),Setting!$D$30:$D$39,"&gt;="&amp;($AK542-1))</f>
        <v>169</v>
      </c>
    </row>
    <row r="543" ht="15.75" customHeight="1">
      <c r="AK543" s="14">
        <v>538.0</v>
      </c>
      <c r="AL543" s="14">
        <f>AL542+SUMIFS(Setting!$E$30:$E$39,Setting!$A$30:$A$39,AL$4,Setting!$C$30:$C$39,"&lt;="&amp;($AK543-1),Setting!$D$30:$D$39,"&gt;="&amp;($AK543-1))</f>
        <v>200</v>
      </c>
      <c r="AM543" s="14">
        <f>AM542+SUMIFS(Setting!$E$30:$E$39,Setting!$A$30:$A$39,AM$4,Setting!$C$30:$C$39,"&lt;="&amp;($AK543-1),Setting!$D$30:$D$39,"&gt;="&amp;($AK543-1))</f>
        <v>169.2</v>
      </c>
    </row>
    <row r="544" ht="15.75" customHeight="1">
      <c r="AK544" s="14">
        <v>539.0</v>
      </c>
      <c r="AL544" s="14">
        <f>AL543+SUMIFS(Setting!$E$30:$E$39,Setting!$A$30:$A$39,AL$4,Setting!$C$30:$C$39,"&lt;="&amp;($AK544-1),Setting!$D$30:$D$39,"&gt;="&amp;($AK544-1))</f>
        <v>200.2</v>
      </c>
      <c r="AM544" s="14">
        <f>AM543+SUMIFS(Setting!$E$30:$E$39,Setting!$A$30:$A$39,AM$4,Setting!$C$30:$C$39,"&lt;="&amp;($AK544-1),Setting!$D$30:$D$39,"&gt;="&amp;($AK544-1))</f>
        <v>169.4</v>
      </c>
    </row>
    <row r="545" ht="15.75" customHeight="1">
      <c r="AK545" s="14">
        <v>540.0</v>
      </c>
      <c r="AL545" s="14">
        <f>AL544+SUMIFS(Setting!$E$30:$E$39,Setting!$A$30:$A$39,AL$4,Setting!$C$30:$C$39,"&lt;="&amp;($AK545-1),Setting!$D$30:$D$39,"&gt;="&amp;($AK545-1))</f>
        <v>200.4</v>
      </c>
      <c r="AM545" s="14">
        <f>AM544+SUMIFS(Setting!$E$30:$E$39,Setting!$A$30:$A$39,AM$4,Setting!$C$30:$C$39,"&lt;="&amp;($AK545-1),Setting!$D$30:$D$39,"&gt;="&amp;($AK545-1))</f>
        <v>169.6</v>
      </c>
    </row>
    <row r="546" ht="15.75" customHeight="1">
      <c r="AK546" s="14">
        <v>541.0</v>
      </c>
      <c r="AL546" s="14">
        <f>AL545+SUMIFS(Setting!$E$30:$E$39,Setting!$A$30:$A$39,AL$4,Setting!$C$30:$C$39,"&lt;="&amp;($AK546-1),Setting!$D$30:$D$39,"&gt;="&amp;($AK546-1))</f>
        <v>200.6</v>
      </c>
      <c r="AM546" s="14">
        <f>AM545+SUMIFS(Setting!$E$30:$E$39,Setting!$A$30:$A$39,AM$4,Setting!$C$30:$C$39,"&lt;="&amp;($AK546-1),Setting!$D$30:$D$39,"&gt;="&amp;($AK546-1))</f>
        <v>169.8</v>
      </c>
    </row>
    <row r="547" ht="15.75" customHeight="1">
      <c r="AK547" s="14">
        <v>542.0</v>
      </c>
      <c r="AL547" s="14">
        <f>AL546+SUMIFS(Setting!$E$30:$E$39,Setting!$A$30:$A$39,AL$4,Setting!$C$30:$C$39,"&lt;="&amp;($AK547-1),Setting!$D$30:$D$39,"&gt;="&amp;($AK547-1))</f>
        <v>200.8</v>
      </c>
      <c r="AM547" s="14">
        <f>AM546+SUMIFS(Setting!$E$30:$E$39,Setting!$A$30:$A$39,AM$4,Setting!$C$30:$C$39,"&lt;="&amp;($AK547-1),Setting!$D$30:$D$39,"&gt;="&amp;($AK547-1))</f>
        <v>170</v>
      </c>
    </row>
    <row r="548" ht="15.75" customHeight="1">
      <c r="AK548" s="14">
        <v>543.0</v>
      </c>
      <c r="AL548" s="14">
        <f>AL547+SUMIFS(Setting!$E$30:$E$39,Setting!$A$30:$A$39,AL$4,Setting!$C$30:$C$39,"&lt;="&amp;($AK548-1),Setting!$D$30:$D$39,"&gt;="&amp;($AK548-1))</f>
        <v>201</v>
      </c>
      <c r="AM548" s="14">
        <f>AM547+SUMIFS(Setting!$E$30:$E$39,Setting!$A$30:$A$39,AM$4,Setting!$C$30:$C$39,"&lt;="&amp;($AK548-1),Setting!$D$30:$D$39,"&gt;="&amp;($AK548-1))</f>
        <v>170.2</v>
      </c>
    </row>
    <row r="549" ht="15.75" customHeight="1">
      <c r="AK549" s="14">
        <v>544.0</v>
      </c>
      <c r="AL549" s="14">
        <f>AL548+SUMIFS(Setting!$E$30:$E$39,Setting!$A$30:$A$39,AL$4,Setting!$C$30:$C$39,"&lt;="&amp;($AK549-1),Setting!$D$30:$D$39,"&gt;="&amp;($AK549-1))</f>
        <v>201.2</v>
      </c>
      <c r="AM549" s="14">
        <f>AM548+SUMIFS(Setting!$E$30:$E$39,Setting!$A$30:$A$39,AM$4,Setting!$C$30:$C$39,"&lt;="&amp;($AK549-1),Setting!$D$30:$D$39,"&gt;="&amp;($AK549-1))</f>
        <v>170.4</v>
      </c>
    </row>
    <row r="550" ht="15.75" customHeight="1">
      <c r="AK550" s="14">
        <v>545.0</v>
      </c>
      <c r="AL550" s="14">
        <f>AL549+SUMIFS(Setting!$E$30:$E$39,Setting!$A$30:$A$39,AL$4,Setting!$C$30:$C$39,"&lt;="&amp;($AK550-1),Setting!$D$30:$D$39,"&gt;="&amp;($AK550-1))</f>
        <v>201.4</v>
      </c>
      <c r="AM550" s="14">
        <f>AM549+SUMIFS(Setting!$E$30:$E$39,Setting!$A$30:$A$39,AM$4,Setting!$C$30:$C$39,"&lt;="&amp;($AK550-1),Setting!$D$30:$D$39,"&gt;="&amp;($AK550-1))</f>
        <v>170.6</v>
      </c>
    </row>
    <row r="551" ht="15.75" customHeight="1">
      <c r="AK551" s="14">
        <v>546.0</v>
      </c>
      <c r="AL551" s="14">
        <f>AL550+SUMIFS(Setting!$E$30:$E$39,Setting!$A$30:$A$39,AL$4,Setting!$C$30:$C$39,"&lt;="&amp;($AK551-1),Setting!$D$30:$D$39,"&gt;="&amp;($AK551-1))</f>
        <v>201.6</v>
      </c>
      <c r="AM551" s="14">
        <f>AM550+SUMIFS(Setting!$E$30:$E$39,Setting!$A$30:$A$39,AM$4,Setting!$C$30:$C$39,"&lt;="&amp;($AK551-1),Setting!$D$30:$D$39,"&gt;="&amp;($AK551-1))</f>
        <v>170.8</v>
      </c>
    </row>
    <row r="552" ht="15.75" customHeight="1">
      <c r="AK552" s="14">
        <v>547.0</v>
      </c>
      <c r="AL552" s="14">
        <f>AL551+SUMIFS(Setting!$E$30:$E$39,Setting!$A$30:$A$39,AL$4,Setting!$C$30:$C$39,"&lt;="&amp;($AK552-1),Setting!$D$30:$D$39,"&gt;="&amp;($AK552-1))</f>
        <v>201.8</v>
      </c>
      <c r="AM552" s="14">
        <f>AM551+SUMIFS(Setting!$E$30:$E$39,Setting!$A$30:$A$39,AM$4,Setting!$C$30:$C$39,"&lt;="&amp;($AK552-1),Setting!$D$30:$D$39,"&gt;="&amp;($AK552-1))</f>
        <v>171</v>
      </c>
    </row>
    <row r="553" ht="15.75" customHeight="1">
      <c r="AK553" s="14">
        <v>548.0</v>
      </c>
      <c r="AL553" s="14">
        <f>AL552+SUMIFS(Setting!$E$30:$E$39,Setting!$A$30:$A$39,AL$4,Setting!$C$30:$C$39,"&lt;="&amp;($AK553-1),Setting!$D$30:$D$39,"&gt;="&amp;($AK553-1))</f>
        <v>202</v>
      </c>
      <c r="AM553" s="14">
        <f>AM552+SUMIFS(Setting!$E$30:$E$39,Setting!$A$30:$A$39,AM$4,Setting!$C$30:$C$39,"&lt;="&amp;($AK553-1),Setting!$D$30:$D$39,"&gt;="&amp;($AK553-1))</f>
        <v>171.2</v>
      </c>
    </row>
    <row r="554" ht="15.75" customHeight="1">
      <c r="AK554" s="14">
        <v>549.0</v>
      </c>
      <c r="AL554" s="14">
        <f>AL553+SUMIFS(Setting!$E$30:$E$39,Setting!$A$30:$A$39,AL$4,Setting!$C$30:$C$39,"&lt;="&amp;($AK554-1),Setting!$D$30:$D$39,"&gt;="&amp;($AK554-1))</f>
        <v>202.2</v>
      </c>
      <c r="AM554" s="14">
        <f>AM553+SUMIFS(Setting!$E$30:$E$39,Setting!$A$30:$A$39,AM$4,Setting!$C$30:$C$39,"&lt;="&amp;($AK554-1),Setting!$D$30:$D$39,"&gt;="&amp;($AK554-1))</f>
        <v>171.4</v>
      </c>
    </row>
    <row r="555" ht="15.75" customHeight="1">
      <c r="AK555" s="14">
        <v>550.0</v>
      </c>
      <c r="AL555" s="14">
        <f>AL554+SUMIFS(Setting!$E$30:$E$39,Setting!$A$30:$A$39,AL$4,Setting!$C$30:$C$39,"&lt;="&amp;($AK555-1),Setting!$D$30:$D$39,"&gt;="&amp;($AK555-1))</f>
        <v>202.4</v>
      </c>
      <c r="AM555" s="14">
        <f>AM554+SUMIFS(Setting!$E$30:$E$39,Setting!$A$30:$A$39,AM$4,Setting!$C$30:$C$39,"&lt;="&amp;($AK555-1),Setting!$D$30:$D$39,"&gt;="&amp;($AK555-1))</f>
        <v>171.6</v>
      </c>
    </row>
    <row r="556" ht="15.75" customHeight="1">
      <c r="AK556" s="14">
        <v>551.0</v>
      </c>
      <c r="AL556" s="14">
        <f>AL555+SUMIFS(Setting!$E$30:$E$39,Setting!$A$30:$A$39,AL$4,Setting!$C$30:$C$39,"&lt;="&amp;($AK556-1),Setting!$D$30:$D$39,"&gt;="&amp;($AK556-1))</f>
        <v>202.6</v>
      </c>
      <c r="AM556" s="14">
        <f>AM555+SUMIFS(Setting!$E$30:$E$39,Setting!$A$30:$A$39,AM$4,Setting!$C$30:$C$39,"&lt;="&amp;($AK556-1),Setting!$D$30:$D$39,"&gt;="&amp;($AK556-1))</f>
        <v>171.8</v>
      </c>
    </row>
    <row r="557" ht="15.75" customHeight="1">
      <c r="AK557" s="14">
        <v>552.0</v>
      </c>
      <c r="AL557" s="14">
        <f>AL556+SUMIFS(Setting!$E$30:$E$39,Setting!$A$30:$A$39,AL$4,Setting!$C$30:$C$39,"&lt;="&amp;($AK557-1),Setting!$D$30:$D$39,"&gt;="&amp;($AK557-1))</f>
        <v>202.8</v>
      </c>
      <c r="AM557" s="14">
        <f>AM556+SUMIFS(Setting!$E$30:$E$39,Setting!$A$30:$A$39,AM$4,Setting!$C$30:$C$39,"&lt;="&amp;($AK557-1),Setting!$D$30:$D$39,"&gt;="&amp;($AK557-1))</f>
        <v>172</v>
      </c>
    </row>
    <row r="558" ht="15.75" customHeight="1">
      <c r="AK558" s="14">
        <v>553.0</v>
      </c>
      <c r="AL558" s="14">
        <f>AL557+SUMIFS(Setting!$E$30:$E$39,Setting!$A$30:$A$39,AL$4,Setting!$C$30:$C$39,"&lt;="&amp;($AK558-1),Setting!$D$30:$D$39,"&gt;="&amp;($AK558-1))</f>
        <v>203</v>
      </c>
      <c r="AM558" s="14">
        <f>AM557+SUMIFS(Setting!$E$30:$E$39,Setting!$A$30:$A$39,AM$4,Setting!$C$30:$C$39,"&lt;="&amp;($AK558-1),Setting!$D$30:$D$39,"&gt;="&amp;($AK558-1))</f>
        <v>172.2</v>
      </c>
    </row>
    <row r="559" ht="15.75" customHeight="1">
      <c r="AK559" s="14">
        <v>554.0</v>
      </c>
      <c r="AL559" s="14">
        <f>AL558+SUMIFS(Setting!$E$30:$E$39,Setting!$A$30:$A$39,AL$4,Setting!$C$30:$C$39,"&lt;="&amp;($AK559-1),Setting!$D$30:$D$39,"&gt;="&amp;($AK559-1))</f>
        <v>203.2</v>
      </c>
      <c r="AM559" s="14">
        <f>AM558+SUMIFS(Setting!$E$30:$E$39,Setting!$A$30:$A$39,AM$4,Setting!$C$30:$C$39,"&lt;="&amp;($AK559-1),Setting!$D$30:$D$39,"&gt;="&amp;($AK559-1))</f>
        <v>172.4</v>
      </c>
    </row>
    <row r="560" ht="15.75" customHeight="1">
      <c r="AK560" s="14">
        <v>555.0</v>
      </c>
      <c r="AL560" s="14">
        <f>AL559+SUMIFS(Setting!$E$30:$E$39,Setting!$A$30:$A$39,AL$4,Setting!$C$30:$C$39,"&lt;="&amp;($AK560-1),Setting!$D$30:$D$39,"&gt;="&amp;($AK560-1))</f>
        <v>203.4</v>
      </c>
      <c r="AM560" s="14">
        <f>AM559+SUMIFS(Setting!$E$30:$E$39,Setting!$A$30:$A$39,AM$4,Setting!$C$30:$C$39,"&lt;="&amp;($AK560-1),Setting!$D$30:$D$39,"&gt;="&amp;($AK560-1))</f>
        <v>172.6</v>
      </c>
    </row>
    <row r="561" ht="15.75" customHeight="1">
      <c r="AK561" s="14">
        <v>556.0</v>
      </c>
      <c r="AL561" s="14">
        <f>AL560+SUMIFS(Setting!$E$30:$E$39,Setting!$A$30:$A$39,AL$4,Setting!$C$30:$C$39,"&lt;="&amp;($AK561-1),Setting!$D$30:$D$39,"&gt;="&amp;($AK561-1))</f>
        <v>203.6</v>
      </c>
      <c r="AM561" s="14">
        <f>AM560+SUMIFS(Setting!$E$30:$E$39,Setting!$A$30:$A$39,AM$4,Setting!$C$30:$C$39,"&lt;="&amp;($AK561-1),Setting!$D$30:$D$39,"&gt;="&amp;($AK561-1))</f>
        <v>172.8</v>
      </c>
    </row>
    <row r="562" ht="15.75" customHeight="1">
      <c r="AK562" s="14">
        <v>557.0</v>
      </c>
      <c r="AL562" s="14">
        <f>AL561+SUMIFS(Setting!$E$30:$E$39,Setting!$A$30:$A$39,AL$4,Setting!$C$30:$C$39,"&lt;="&amp;($AK562-1),Setting!$D$30:$D$39,"&gt;="&amp;($AK562-1))</f>
        <v>203.8</v>
      </c>
      <c r="AM562" s="14">
        <f>AM561+SUMIFS(Setting!$E$30:$E$39,Setting!$A$30:$A$39,AM$4,Setting!$C$30:$C$39,"&lt;="&amp;($AK562-1),Setting!$D$30:$D$39,"&gt;="&amp;($AK562-1))</f>
        <v>173</v>
      </c>
    </row>
    <row r="563" ht="15.75" customHeight="1">
      <c r="AK563" s="14">
        <v>558.0</v>
      </c>
      <c r="AL563" s="14">
        <f>AL562+SUMIFS(Setting!$E$30:$E$39,Setting!$A$30:$A$39,AL$4,Setting!$C$30:$C$39,"&lt;="&amp;($AK563-1),Setting!$D$30:$D$39,"&gt;="&amp;($AK563-1))</f>
        <v>204</v>
      </c>
      <c r="AM563" s="14">
        <f>AM562+SUMIFS(Setting!$E$30:$E$39,Setting!$A$30:$A$39,AM$4,Setting!$C$30:$C$39,"&lt;="&amp;($AK563-1),Setting!$D$30:$D$39,"&gt;="&amp;($AK563-1))</f>
        <v>173.2</v>
      </c>
    </row>
    <row r="564" ht="15.75" customHeight="1">
      <c r="AK564" s="14">
        <v>559.0</v>
      </c>
      <c r="AL564" s="14">
        <f>AL563+SUMIFS(Setting!$E$30:$E$39,Setting!$A$30:$A$39,AL$4,Setting!$C$30:$C$39,"&lt;="&amp;($AK564-1),Setting!$D$30:$D$39,"&gt;="&amp;($AK564-1))</f>
        <v>204.2</v>
      </c>
      <c r="AM564" s="14">
        <f>AM563+SUMIFS(Setting!$E$30:$E$39,Setting!$A$30:$A$39,AM$4,Setting!$C$30:$C$39,"&lt;="&amp;($AK564-1),Setting!$D$30:$D$39,"&gt;="&amp;($AK564-1))</f>
        <v>173.4</v>
      </c>
    </row>
    <row r="565" ht="15.75" customHeight="1">
      <c r="AK565" s="14">
        <v>560.0</v>
      </c>
      <c r="AL565" s="14">
        <f>AL564+SUMIFS(Setting!$E$30:$E$39,Setting!$A$30:$A$39,AL$4,Setting!$C$30:$C$39,"&lt;="&amp;($AK565-1),Setting!$D$30:$D$39,"&gt;="&amp;($AK565-1))</f>
        <v>204.4</v>
      </c>
      <c r="AM565" s="14">
        <f>AM564+SUMIFS(Setting!$E$30:$E$39,Setting!$A$30:$A$39,AM$4,Setting!$C$30:$C$39,"&lt;="&amp;($AK565-1),Setting!$D$30:$D$39,"&gt;="&amp;($AK565-1))</f>
        <v>173.6</v>
      </c>
    </row>
    <row r="566" ht="15.75" customHeight="1">
      <c r="AK566" s="14">
        <v>561.0</v>
      </c>
      <c r="AL566" s="14">
        <f>AL565+SUMIFS(Setting!$E$30:$E$39,Setting!$A$30:$A$39,AL$4,Setting!$C$30:$C$39,"&lt;="&amp;($AK566-1),Setting!$D$30:$D$39,"&gt;="&amp;($AK566-1))</f>
        <v>204.6</v>
      </c>
      <c r="AM566" s="14">
        <f>AM565+SUMIFS(Setting!$E$30:$E$39,Setting!$A$30:$A$39,AM$4,Setting!$C$30:$C$39,"&lt;="&amp;($AK566-1),Setting!$D$30:$D$39,"&gt;="&amp;($AK566-1))</f>
        <v>173.8</v>
      </c>
    </row>
    <row r="567" ht="15.75" customHeight="1">
      <c r="AK567" s="14">
        <v>562.0</v>
      </c>
      <c r="AL567" s="14">
        <f>AL566+SUMIFS(Setting!$E$30:$E$39,Setting!$A$30:$A$39,AL$4,Setting!$C$30:$C$39,"&lt;="&amp;($AK567-1),Setting!$D$30:$D$39,"&gt;="&amp;($AK567-1))</f>
        <v>204.8</v>
      </c>
      <c r="AM567" s="14">
        <f>AM566+SUMIFS(Setting!$E$30:$E$39,Setting!$A$30:$A$39,AM$4,Setting!$C$30:$C$39,"&lt;="&amp;($AK567-1),Setting!$D$30:$D$39,"&gt;="&amp;($AK567-1))</f>
        <v>174</v>
      </c>
    </row>
    <row r="568" ht="15.75" customHeight="1">
      <c r="AK568" s="14">
        <v>563.0</v>
      </c>
      <c r="AL568" s="14">
        <f>AL567+SUMIFS(Setting!$E$30:$E$39,Setting!$A$30:$A$39,AL$4,Setting!$C$30:$C$39,"&lt;="&amp;($AK568-1),Setting!$D$30:$D$39,"&gt;="&amp;($AK568-1))</f>
        <v>205</v>
      </c>
      <c r="AM568" s="14">
        <f>AM567+SUMIFS(Setting!$E$30:$E$39,Setting!$A$30:$A$39,AM$4,Setting!$C$30:$C$39,"&lt;="&amp;($AK568-1),Setting!$D$30:$D$39,"&gt;="&amp;($AK568-1))</f>
        <v>174.2</v>
      </c>
    </row>
    <row r="569" ht="15.75" customHeight="1">
      <c r="AK569" s="14">
        <v>564.0</v>
      </c>
      <c r="AL569" s="14">
        <f>AL568+SUMIFS(Setting!$E$30:$E$39,Setting!$A$30:$A$39,AL$4,Setting!$C$30:$C$39,"&lt;="&amp;($AK569-1),Setting!$D$30:$D$39,"&gt;="&amp;($AK569-1))</f>
        <v>205.2</v>
      </c>
      <c r="AM569" s="14">
        <f>AM568+SUMIFS(Setting!$E$30:$E$39,Setting!$A$30:$A$39,AM$4,Setting!$C$30:$C$39,"&lt;="&amp;($AK569-1),Setting!$D$30:$D$39,"&gt;="&amp;($AK569-1))</f>
        <v>174.4</v>
      </c>
    </row>
    <row r="570" ht="15.75" customHeight="1">
      <c r="AK570" s="14">
        <v>565.0</v>
      </c>
      <c r="AL570" s="14">
        <f>AL569+SUMIFS(Setting!$E$30:$E$39,Setting!$A$30:$A$39,AL$4,Setting!$C$30:$C$39,"&lt;="&amp;($AK570-1),Setting!$D$30:$D$39,"&gt;="&amp;($AK570-1))</f>
        <v>205.4</v>
      </c>
      <c r="AM570" s="14">
        <f>AM569+SUMIFS(Setting!$E$30:$E$39,Setting!$A$30:$A$39,AM$4,Setting!$C$30:$C$39,"&lt;="&amp;($AK570-1),Setting!$D$30:$D$39,"&gt;="&amp;($AK570-1))</f>
        <v>174.6</v>
      </c>
    </row>
    <row r="571" ht="15.75" customHeight="1">
      <c r="AK571" s="14">
        <v>566.0</v>
      </c>
      <c r="AL571" s="14">
        <f>AL570+SUMIFS(Setting!$E$30:$E$39,Setting!$A$30:$A$39,AL$4,Setting!$C$30:$C$39,"&lt;="&amp;($AK571-1),Setting!$D$30:$D$39,"&gt;="&amp;($AK571-1))</f>
        <v>205.6</v>
      </c>
      <c r="AM571" s="14">
        <f>AM570+SUMIFS(Setting!$E$30:$E$39,Setting!$A$30:$A$39,AM$4,Setting!$C$30:$C$39,"&lt;="&amp;($AK571-1),Setting!$D$30:$D$39,"&gt;="&amp;($AK571-1))</f>
        <v>174.8</v>
      </c>
    </row>
    <row r="572" ht="15.75" customHeight="1">
      <c r="AK572" s="14">
        <v>567.0</v>
      </c>
      <c r="AL572" s="14">
        <f>AL571+SUMIFS(Setting!$E$30:$E$39,Setting!$A$30:$A$39,AL$4,Setting!$C$30:$C$39,"&lt;="&amp;($AK572-1),Setting!$D$30:$D$39,"&gt;="&amp;($AK572-1))</f>
        <v>205.8</v>
      </c>
      <c r="AM572" s="14">
        <f>AM571+SUMIFS(Setting!$E$30:$E$39,Setting!$A$30:$A$39,AM$4,Setting!$C$30:$C$39,"&lt;="&amp;($AK572-1),Setting!$D$30:$D$39,"&gt;="&amp;($AK572-1))</f>
        <v>175</v>
      </c>
    </row>
    <row r="573" ht="15.75" customHeight="1">
      <c r="AK573" s="14">
        <v>568.0</v>
      </c>
      <c r="AL573" s="14">
        <f>AL572+SUMIFS(Setting!$E$30:$E$39,Setting!$A$30:$A$39,AL$4,Setting!$C$30:$C$39,"&lt;="&amp;($AK573-1),Setting!$D$30:$D$39,"&gt;="&amp;($AK573-1))</f>
        <v>206</v>
      </c>
      <c r="AM573" s="14">
        <f>AM572+SUMIFS(Setting!$E$30:$E$39,Setting!$A$30:$A$39,AM$4,Setting!$C$30:$C$39,"&lt;="&amp;($AK573-1),Setting!$D$30:$D$39,"&gt;="&amp;($AK573-1))</f>
        <v>175.2</v>
      </c>
    </row>
    <row r="574" ht="15.75" customHeight="1">
      <c r="AK574" s="14">
        <v>569.0</v>
      </c>
      <c r="AL574" s="14">
        <f>AL573+SUMIFS(Setting!$E$30:$E$39,Setting!$A$30:$A$39,AL$4,Setting!$C$30:$C$39,"&lt;="&amp;($AK574-1),Setting!$D$30:$D$39,"&gt;="&amp;($AK574-1))</f>
        <v>206.2</v>
      </c>
      <c r="AM574" s="14">
        <f>AM573+SUMIFS(Setting!$E$30:$E$39,Setting!$A$30:$A$39,AM$4,Setting!$C$30:$C$39,"&lt;="&amp;($AK574-1),Setting!$D$30:$D$39,"&gt;="&amp;($AK574-1))</f>
        <v>175.4</v>
      </c>
    </row>
    <row r="575" ht="15.75" customHeight="1">
      <c r="AK575" s="14">
        <v>570.0</v>
      </c>
      <c r="AL575" s="14">
        <f>AL574+SUMIFS(Setting!$E$30:$E$39,Setting!$A$30:$A$39,AL$4,Setting!$C$30:$C$39,"&lt;="&amp;($AK575-1),Setting!$D$30:$D$39,"&gt;="&amp;($AK575-1))</f>
        <v>206.4</v>
      </c>
      <c r="AM575" s="14">
        <f>AM574+SUMIFS(Setting!$E$30:$E$39,Setting!$A$30:$A$39,AM$4,Setting!$C$30:$C$39,"&lt;="&amp;($AK575-1),Setting!$D$30:$D$39,"&gt;="&amp;($AK575-1))</f>
        <v>175.6</v>
      </c>
    </row>
    <row r="576" ht="15.75" customHeight="1">
      <c r="AK576" s="14">
        <v>571.0</v>
      </c>
      <c r="AL576" s="14">
        <f>AL575+SUMIFS(Setting!$E$30:$E$39,Setting!$A$30:$A$39,AL$4,Setting!$C$30:$C$39,"&lt;="&amp;($AK576-1),Setting!$D$30:$D$39,"&gt;="&amp;($AK576-1))</f>
        <v>206.6</v>
      </c>
      <c r="AM576" s="14">
        <f>AM575+SUMIFS(Setting!$E$30:$E$39,Setting!$A$30:$A$39,AM$4,Setting!$C$30:$C$39,"&lt;="&amp;($AK576-1),Setting!$D$30:$D$39,"&gt;="&amp;($AK576-1))</f>
        <v>175.8</v>
      </c>
    </row>
    <row r="577" ht="15.75" customHeight="1">
      <c r="AK577" s="14">
        <v>572.0</v>
      </c>
      <c r="AL577" s="14">
        <f>AL576+SUMIFS(Setting!$E$30:$E$39,Setting!$A$30:$A$39,AL$4,Setting!$C$30:$C$39,"&lt;="&amp;($AK577-1),Setting!$D$30:$D$39,"&gt;="&amp;($AK577-1))</f>
        <v>206.8</v>
      </c>
      <c r="AM577" s="14">
        <f>AM576+SUMIFS(Setting!$E$30:$E$39,Setting!$A$30:$A$39,AM$4,Setting!$C$30:$C$39,"&lt;="&amp;($AK577-1),Setting!$D$30:$D$39,"&gt;="&amp;($AK577-1))</f>
        <v>176</v>
      </c>
    </row>
    <row r="578" ht="15.75" customHeight="1">
      <c r="AK578" s="14">
        <v>573.0</v>
      </c>
      <c r="AL578" s="14">
        <f>AL577+SUMIFS(Setting!$E$30:$E$39,Setting!$A$30:$A$39,AL$4,Setting!$C$30:$C$39,"&lt;="&amp;($AK578-1),Setting!$D$30:$D$39,"&gt;="&amp;($AK578-1))</f>
        <v>207</v>
      </c>
      <c r="AM578" s="14">
        <f>AM577+SUMIFS(Setting!$E$30:$E$39,Setting!$A$30:$A$39,AM$4,Setting!$C$30:$C$39,"&lt;="&amp;($AK578-1),Setting!$D$30:$D$39,"&gt;="&amp;($AK578-1))</f>
        <v>176.2</v>
      </c>
    </row>
    <row r="579" ht="15.75" customHeight="1">
      <c r="AK579" s="14">
        <v>574.0</v>
      </c>
      <c r="AL579" s="14">
        <f>AL578+SUMIFS(Setting!$E$30:$E$39,Setting!$A$30:$A$39,AL$4,Setting!$C$30:$C$39,"&lt;="&amp;($AK579-1),Setting!$D$30:$D$39,"&gt;="&amp;($AK579-1))</f>
        <v>207.2</v>
      </c>
      <c r="AM579" s="14">
        <f>AM578+SUMIFS(Setting!$E$30:$E$39,Setting!$A$30:$A$39,AM$4,Setting!$C$30:$C$39,"&lt;="&amp;($AK579-1),Setting!$D$30:$D$39,"&gt;="&amp;($AK579-1))</f>
        <v>176.4</v>
      </c>
    </row>
    <row r="580" ht="15.75" customHeight="1">
      <c r="AK580" s="14">
        <v>575.0</v>
      </c>
      <c r="AL580" s="14">
        <f>AL579+SUMIFS(Setting!$E$30:$E$39,Setting!$A$30:$A$39,AL$4,Setting!$C$30:$C$39,"&lt;="&amp;($AK580-1),Setting!$D$30:$D$39,"&gt;="&amp;($AK580-1))</f>
        <v>207.4</v>
      </c>
      <c r="AM580" s="14">
        <f>AM579+SUMIFS(Setting!$E$30:$E$39,Setting!$A$30:$A$39,AM$4,Setting!$C$30:$C$39,"&lt;="&amp;($AK580-1),Setting!$D$30:$D$39,"&gt;="&amp;($AK580-1))</f>
        <v>176.6</v>
      </c>
    </row>
    <row r="581" ht="15.75" customHeight="1">
      <c r="AK581" s="14">
        <v>576.0</v>
      </c>
      <c r="AL581" s="14">
        <f>AL580+SUMIFS(Setting!$E$30:$E$39,Setting!$A$30:$A$39,AL$4,Setting!$C$30:$C$39,"&lt;="&amp;($AK581-1),Setting!$D$30:$D$39,"&gt;="&amp;($AK581-1))</f>
        <v>207.6</v>
      </c>
      <c r="AM581" s="14">
        <f>AM580+SUMIFS(Setting!$E$30:$E$39,Setting!$A$30:$A$39,AM$4,Setting!$C$30:$C$39,"&lt;="&amp;($AK581-1),Setting!$D$30:$D$39,"&gt;="&amp;($AK581-1))</f>
        <v>176.8</v>
      </c>
    </row>
    <row r="582" ht="15.75" customHeight="1">
      <c r="AK582" s="14">
        <v>577.0</v>
      </c>
      <c r="AL582" s="14">
        <f>AL581+SUMIFS(Setting!$E$30:$E$39,Setting!$A$30:$A$39,AL$4,Setting!$C$30:$C$39,"&lt;="&amp;($AK582-1),Setting!$D$30:$D$39,"&gt;="&amp;($AK582-1))</f>
        <v>207.8</v>
      </c>
      <c r="AM582" s="14">
        <f>AM581+SUMIFS(Setting!$E$30:$E$39,Setting!$A$30:$A$39,AM$4,Setting!$C$30:$C$39,"&lt;="&amp;($AK582-1),Setting!$D$30:$D$39,"&gt;="&amp;($AK582-1))</f>
        <v>177</v>
      </c>
    </row>
    <row r="583" ht="15.75" customHeight="1">
      <c r="AK583" s="14">
        <v>578.0</v>
      </c>
      <c r="AL583" s="14">
        <f>AL582+SUMIFS(Setting!$E$30:$E$39,Setting!$A$30:$A$39,AL$4,Setting!$C$30:$C$39,"&lt;="&amp;($AK583-1),Setting!$D$30:$D$39,"&gt;="&amp;($AK583-1))</f>
        <v>208</v>
      </c>
      <c r="AM583" s="14">
        <f>AM582+SUMIFS(Setting!$E$30:$E$39,Setting!$A$30:$A$39,AM$4,Setting!$C$30:$C$39,"&lt;="&amp;($AK583-1),Setting!$D$30:$D$39,"&gt;="&amp;($AK583-1))</f>
        <v>177.2</v>
      </c>
    </row>
    <row r="584" ht="15.75" customHeight="1">
      <c r="AK584" s="14">
        <v>579.0</v>
      </c>
      <c r="AL584" s="14">
        <f>AL583+SUMIFS(Setting!$E$30:$E$39,Setting!$A$30:$A$39,AL$4,Setting!$C$30:$C$39,"&lt;="&amp;($AK584-1),Setting!$D$30:$D$39,"&gt;="&amp;($AK584-1))</f>
        <v>208.2</v>
      </c>
      <c r="AM584" s="14">
        <f>AM583+SUMIFS(Setting!$E$30:$E$39,Setting!$A$30:$A$39,AM$4,Setting!$C$30:$C$39,"&lt;="&amp;($AK584-1),Setting!$D$30:$D$39,"&gt;="&amp;($AK584-1))</f>
        <v>177.4</v>
      </c>
    </row>
    <row r="585" ht="15.75" customHeight="1">
      <c r="AK585" s="14">
        <v>580.0</v>
      </c>
      <c r="AL585" s="14">
        <f>AL584+SUMIFS(Setting!$E$30:$E$39,Setting!$A$30:$A$39,AL$4,Setting!$C$30:$C$39,"&lt;="&amp;($AK585-1),Setting!$D$30:$D$39,"&gt;="&amp;($AK585-1))</f>
        <v>208.4</v>
      </c>
      <c r="AM585" s="14">
        <f>AM584+SUMIFS(Setting!$E$30:$E$39,Setting!$A$30:$A$39,AM$4,Setting!$C$30:$C$39,"&lt;="&amp;($AK585-1),Setting!$D$30:$D$39,"&gt;="&amp;($AK585-1))</f>
        <v>177.6</v>
      </c>
    </row>
    <row r="586" ht="15.75" customHeight="1">
      <c r="AK586" s="14">
        <v>581.0</v>
      </c>
      <c r="AL586" s="14">
        <f>AL585+SUMIFS(Setting!$E$30:$E$39,Setting!$A$30:$A$39,AL$4,Setting!$C$30:$C$39,"&lt;="&amp;($AK586-1),Setting!$D$30:$D$39,"&gt;="&amp;($AK586-1))</f>
        <v>208.6</v>
      </c>
      <c r="AM586" s="14">
        <f>AM585+SUMIFS(Setting!$E$30:$E$39,Setting!$A$30:$A$39,AM$4,Setting!$C$30:$C$39,"&lt;="&amp;($AK586-1),Setting!$D$30:$D$39,"&gt;="&amp;($AK586-1))</f>
        <v>177.8</v>
      </c>
    </row>
    <row r="587" ht="15.75" customHeight="1">
      <c r="AK587" s="14">
        <v>582.0</v>
      </c>
      <c r="AL587" s="14">
        <f>AL586+SUMIFS(Setting!$E$30:$E$39,Setting!$A$30:$A$39,AL$4,Setting!$C$30:$C$39,"&lt;="&amp;($AK587-1),Setting!$D$30:$D$39,"&gt;="&amp;($AK587-1))</f>
        <v>208.8</v>
      </c>
      <c r="AM587" s="14">
        <f>AM586+SUMIFS(Setting!$E$30:$E$39,Setting!$A$30:$A$39,AM$4,Setting!$C$30:$C$39,"&lt;="&amp;($AK587-1),Setting!$D$30:$D$39,"&gt;="&amp;($AK587-1))</f>
        <v>178</v>
      </c>
    </row>
    <row r="588" ht="15.75" customHeight="1">
      <c r="AK588" s="14">
        <v>583.0</v>
      </c>
      <c r="AL588" s="14">
        <f>AL587+SUMIFS(Setting!$E$30:$E$39,Setting!$A$30:$A$39,AL$4,Setting!$C$30:$C$39,"&lt;="&amp;($AK588-1),Setting!$D$30:$D$39,"&gt;="&amp;($AK588-1))</f>
        <v>209</v>
      </c>
      <c r="AM588" s="14">
        <f>AM587+SUMIFS(Setting!$E$30:$E$39,Setting!$A$30:$A$39,AM$4,Setting!$C$30:$C$39,"&lt;="&amp;($AK588-1),Setting!$D$30:$D$39,"&gt;="&amp;($AK588-1))</f>
        <v>178.2</v>
      </c>
    </row>
    <row r="589" ht="15.75" customHeight="1">
      <c r="AK589" s="14">
        <v>584.0</v>
      </c>
      <c r="AL589" s="14">
        <f>AL588+SUMIFS(Setting!$E$30:$E$39,Setting!$A$30:$A$39,AL$4,Setting!$C$30:$C$39,"&lt;="&amp;($AK589-1),Setting!$D$30:$D$39,"&gt;="&amp;($AK589-1))</f>
        <v>209.2</v>
      </c>
      <c r="AM589" s="14">
        <f>AM588+SUMIFS(Setting!$E$30:$E$39,Setting!$A$30:$A$39,AM$4,Setting!$C$30:$C$39,"&lt;="&amp;($AK589-1),Setting!$D$30:$D$39,"&gt;="&amp;($AK589-1))</f>
        <v>178.4</v>
      </c>
    </row>
    <row r="590" ht="15.75" customHeight="1">
      <c r="AK590" s="14">
        <v>585.0</v>
      </c>
      <c r="AL590" s="14">
        <f>AL589+SUMIFS(Setting!$E$30:$E$39,Setting!$A$30:$A$39,AL$4,Setting!$C$30:$C$39,"&lt;="&amp;($AK590-1),Setting!$D$30:$D$39,"&gt;="&amp;($AK590-1))</f>
        <v>209.4</v>
      </c>
      <c r="AM590" s="14">
        <f>AM589+SUMIFS(Setting!$E$30:$E$39,Setting!$A$30:$A$39,AM$4,Setting!$C$30:$C$39,"&lt;="&amp;($AK590-1),Setting!$D$30:$D$39,"&gt;="&amp;($AK590-1))</f>
        <v>178.6</v>
      </c>
    </row>
    <row r="591" ht="15.75" customHeight="1">
      <c r="AK591" s="14">
        <v>586.0</v>
      </c>
      <c r="AL591" s="14">
        <f>AL590+SUMIFS(Setting!$E$30:$E$39,Setting!$A$30:$A$39,AL$4,Setting!$C$30:$C$39,"&lt;="&amp;($AK591-1),Setting!$D$30:$D$39,"&gt;="&amp;($AK591-1))</f>
        <v>209.6</v>
      </c>
      <c r="AM591" s="14">
        <f>AM590+SUMIFS(Setting!$E$30:$E$39,Setting!$A$30:$A$39,AM$4,Setting!$C$30:$C$39,"&lt;="&amp;($AK591-1),Setting!$D$30:$D$39,"&gt;="&amp;($AK591-1))</f>
        <v>178.8</v>
      </c>
    </row>
    <row r="592" ht="15.75" customHeight="1">
      <c r="AK592" s="14">
        <v>587.0</v>
      </c>
      <c r="AL592" s="14">
        <f>AL591+SUMIFS(Setting!$E$30:$E$39,Setting!$A$30:$A$39,AL$4,Setting!$C$30:$C$39,"&lt;="&amp;($AK592-1),Setting!$D$30:$D$39,"&gt;="&amp;($AK592-1))</f>
        <v>209.8</v>
      </c>
      <c r="AM592" s="14">
        <f>AM591+SUMIFS(Setting!$E$30:$E$39,Setting!$A$30:$A$39,AM$4,Setting!$C$30:$C$39,"&lt;="&amp;($AK592-1),Setting!$D$30:$D$39,"&gt;="&amp;($AK592-1))</f>
        <v>179</v>
      </c>
    </row>
    <row r="593" ht="15.75" customHeight="1">
      <c r="AK593" s="14">
        <v>588.0</v>
      </c>
      <c r="AL593" s="14">
        <f>AL592+SUMIFS(Setting!$E$30:$E$39,Setting!$A$30:$A$39,AL$4,Setting!$C$30:$C$39,"&lt;="&amp;($AK593-1),Setting!$D$30:$D$39,"&gt;="&amp;($AK593-1))</f>
        <v>210</v>
      </c>
      <c r="AM593" s="14">
        <f>AM592+SUMIFS(Setting!$E$30:$E$39,Setting!$A$30:$A$39,AM$4,Setting!$C$30:$C$39,"&lt;="&amp;($AK593-1),Setting!$D$30:$D$39,"&gt;="&amp;($AK593-1))</f>
        <v>179.2</v>
      </c>
    </row>
    <row r="594" ht="15.75" customHeight="1">
      <c r="AK594" s="14">
        <v>589.0</v>
      </c>
      <c r="AL594" s="14">
        <f>AL593+SUMIFS(Setting!$E$30:$E$39,Setting!$A$30:$A$39,AL$4,Setting!$C$30:$C$39,"&lt;="&amp;($AK594-1),Setting!$D$30:$D$39,"&gt;="&amp;($AK594-1))</f>
        <v>210.2</v>
      </c>
      <c r="AM594" s="14">
        <f>AM593+SUMIFS(Setting!$E$30:$E$39,Setting!$A$30:$A$39,AM$4,Setting!$C$30:$C$39,"&lt;="&amp;($AK594-1),Setting!$D$30:$D$39,"&gt;="&amp;($AK594-1))</f>
        <v>179.4</v>
      </c>
    </row>
    <row r="595" ht="15.75" customHeight="1">
      <c r="AK595" s="14">
        <v>590.0</v>
      </c>
      <c r="AL595" s="14">
        <f>AL594+SUMIFS(Setting!$E$30:$E$39,Setting!$A$30:$A$39,AL$4,Setting!$C$30:$C$39,"&lt;="&amp;($AK595-1),Setting!$D$30:$D$39,"&gt;="&amp;($AK595-1))</f>
        <v>210.4</v>
      </c>
      <c r="AM595" s="14">
        <f>AM594+SUMIFS(Setting!$E$30:$E$39,Setting!$A$30:$A$39,AM$4,Setting!$C$30:$C$39,"&lt;="&amp;($AK595-1),Setting!$D$30:$D$39,"&gt;="&amp;($AK595-1))</f>
        <v>179.6</v>
      </c>
    </row>
    <row r="596" ht="15.75" customHeight="1">
      <c r="AK596" s="14">
        <v>591.0</v>
      </c>
      <c r="AL596" s="14">
        <f>AL595+SUMIFS(Setting!$E$30:$E$39,Setting!$A$30:$A$39,AL$4,Setting!$C$30:$C$39,"&lt;="&amp;($AK596-1),Setting!$D$30:$D$39,"&gt;="&amp;($AK596-1))</f>
        <v>210.6</v>
      </c>
      <c r="AM596" s="14">
        <f>AM595+SUMIFS(Setting!$E$30:$E$39,Setting!$A$30:$A$39,AM$4,Setting!$C$30:$C$39,"&lt;="&amp;($AK596-1),Setting!$D$30:$D$39,"&gt;="&amp;($AK596-1))</f>
        <v>179.8</v>
      </c>
    </row>
    <row r="597" ht="15.75" customHeight="1">
      <c r="AK597" s="14">
        <v>592.0</v>
      </c>
      <c r="AL597" s="14">
        <f>AL596+SUMIFS(Setting!$E$30:$E$39,Setting!$A$30:$A$39,AL$4,Setting!$C$30:$C$39,"&lt;="&amp;($AK597-1),Setting!$D$30:$D$39,"&gt;="&amp;($AK597-1))</f>
        <v>210.8</v>
      </c>
      <c r="AM597" s="14">
        <f>AM596+SUMIFS(Setting!$E$30:$E$39,Setting!$A$30:$A$39,AM$4,Setting!$C$30:$C$39,"&lt;="&amp;($AK597-1),Setting!$D$30:$D$39,"&gt;="&amp;($AK597-1))</f>
        <v>180</v>
      </c>
    </row>
    <row r="598" ht="15.75" customHeight="1">
      <c r="AK598" s="14">
        <v>593.0</v>
      </c>
      <c r="AL598" s="14">
        <f>AL597+SUMIFS(Setting!$E$30:$E$39,Setting!$A$30:$A$39,AL$4,Setting!$C$30:$C$39,"&lt;="&amp;($AK598-1),Setting!$D$30:$D$39,"&gt;="&amp;($AK598-1))</f>
        <v>211</v>
      </c>
      <c r="AM598" s="14">
        <f>AM597+SUMIFS(Setting!$E$30:$E$39,Setting!$A$30:$A$39,AM$4,Setting!$C$30:$C$39,"&lt;="&amp;($AK598-1),Setting!$D$30:$D$39,"&gt;="&amp;($AK598-1))</f>
        <v>180.2</v>
      </c>
    </row>
    <row r="599" ht="15.75" customHeight="1">
      <c r="AK599" s="14">
        <v>594.0</v>
      </c>
      <c r="AL599" s="14">
        <f>AL598+SUMIFS(Setting!$E$30:$E$39,Setting!$A$30:$A$39,AL$4,Setting!$C$30:$C$39,"&lt;="&amp;($AK599-1),Setting!$D$30:$D$39,"&gt;="&amp;($AK599-1))</f>
        <v>211.2</v>
      </c>
      <c r="AM599" s="14">
        <f>AM598+SUMIFS(Setting!$E$30:$E$39,Setting!$A$30:$A$39,AM$4,Setting!$C$30:$C$39,"&lt;="&amp;($AK599-1),Setting!$D$30:$D$39,"&gt;="&amp;($AK599-1))</f>
        <v>180.4</v>
      </c>
    </row>
    <row r="600" ht="15.75" customHeight="1">
      <c r="AK600" s="14">
        <v>595.0</v>
      </c>
      <c r="AL600" s="14">
        <f>AL599+SUMIFS(Setting!$E$30:$E$39,Setting!$A$30:$A$39,AL$4,Setting!$C$30:$C$39,"&lt;="&amp;($AK600-1),Setting!$D$30:$D$39,"&gt;="&amp;($AK600-1))</f>
        <v>211.4</v>
      </c>
      <c r="AM600" s="14">
        <f>AM599+SUMIFS(Setting!$E$30:$E$39,Setting!$A$30:$A$39,AM$4,Setting!$C$30:$C$39,"&lt;="&amp;($AK600-1),Setting!$D$30:$D$39,"&gt;="&amp;($AK600-1))</f>
        <v>180.6</v>
      </c>
    </row>
    <row r="601" ht="15.75" customHeight="1">
      <c r="AK601" s="14">
        <v>596.0</v>
      </c>
      <c r="AL601" s="14">
        <f>AL600+SUMIFS(Setting!$E$30:$E$39,Setting!$A$30:$A$39,AL$4,Setting!$C$30:$C$39,"&lt;="&amp;($AK601-1),Setting!$D$30:$D$39,"&gt;="&amp;($AK601-1))</f>
        <v>211.6</v>
      </c>
      <c r="AM601" s="14">
        <f>AM600+SUMIFS(Setting!$E$30:$E$39,Setting!$A$30:$A$39,AM$4,Setting!$C$30:$C$39,"&lt;="&amp;($AK601-1),Setting!$D$30:$D$39,"&gt;="&amp;($AK601-1))</f>
        <v>180.8</v>
      </c>
    </row>
    <row r="602" ht="15.75" customHeight="1">
      <c r="AK602" s="14">
        <v>597.0</v>
      </c>
      <c r="AL602" s="14">
        <f>AL601+SUMIFS(Setting!$E$30:$E$39,Setting!$A$30:$A$39,AL$4,Setting!$C$30:$C$39,"&lt;="&amp;($AK602-1),Setting!$D$30:$D$39,"&gt;="&amp;($AK602-1))</f>
        <v>211.8</v>
      </c>
      <c r="AM602" s="14">
        <f>AM601+SUMIFS(Setting!$E$30:$E$39,Setting!$A$30:$A$39,AM$4,Setting!$C$30:$C$39,"&lt;="&amp;($AK602-1),Setting!$D$30:$D$39,"&gt;="&amp;($AK602-1))</f>
        <v>181</v>
      </c>
    </row>
    <row r="603" ht="15.75" customHeight="1">
      <c r="AK603" s="14">
        <v>598.0</v>
      </c>
      <c r="AL603" s="14">
        <f>AL602+SUMIFS(Setting!$E$30:$E$39,Setting!$A$30:$A$39,AL$4,Setting!$C$30:$C$39,"&lt;="&amp;($AK603-1),Setting!$D$30:$D$39,"&gt;="&amp;($AK603-1))</f>
        <v>212</v>
      </c>
      <c r="AM603" s="14">
        <f>AM602+SUMIFS(Setting!$E$30:$E$39,Setting!$A$30:$A$39,AM$4,Setting!$C$30:$C$39,"&lt;="&amp;($AK603-1),Setting!$D$30:$D$39,"&gt;="&amp;($AK603-1))</f>
        <v>181.2</v>
      </c>
    </row>
    <row r="604" ht="15.75" customHeight="1">
      <c r="AK604" s="14">
        <v>599.0</v>
      </c>
      <c r="AL604" s="14">
        <f>AL603+SUMIFS(Setting!$E$30:$E$39,Setting!$A$30:$A$39,AL$4,Setting!$C$30:$C$39,"&lt;="&amp;($AK604-1),Setting!$D$30:$D$39,"&gt;="&amp;($AK604-1))</f>
        <v>212.2</v>
      </c>
      <c r="AM604" s="14">
        <f>AM603+SUMIFS(Setting!$E$30:$E$39,Setting!$A$30:$A$39,AM$4,Setting!$C$30:$C$39,"&lt;="&amp;($AK604-1),Setting!$D$30:$D$39,"&gt;="&amp;($AK604-1))</f>
        <v>181.4</v>
      </c>
    </row>
    <row r="605" ht="15.75" customHeight="1">
      <c r="AK605" s="14">
        <v>600.0</v>
      </c>
      <c r="AL605" s="14">
        <f>AL604+SUMIFS(Setting!$E$30:$E$39,Setting!$A$30:$A$39,AL$4,Setting!$C$30:$C$39,"&lt;="&amp;($AK605-1),Setting!$D$30:$D$39,"&gt;="&amp;($AK605-1))</f>
        <v>212.4</v>
      </c>
      <c r="AM605" s="14">
        <f>AM604+SUMIFS(Setting!$E$30:$E$39,Setting!$A$30:$A$39,AM$4,Setting!$C$30:$C$39,"&lt;="&amp;($AK605-1),Setting!$D$30:$D$39,"&gt;="&amp;($AK605-1))</f>
        <v>181.6</v>
      </c>
    </row>
    <row r="606" ht="15.75" customHeight="1">
      <c r="AK606" s="14">
        <v>601.0</v>
      </c>
      <c r="AL606" s="14">
        <f>AL605+SUMIFS(Setting!$E$30:$E$39,Setting!$A$30:$A$39,AL$4,Setting!$C$30:$C$39,"&lt;="&amp;($AK606-1),Setting!$D$30:$D$39,"&gt;="&amp;($AK606-1))</f>
        <v>212.6</v>
      </c>
      <c r="AM606" s="14">
        <f>AM605+SUMIFS(Setting!$E$30:$E$39,Setting!$A$30:$A$39,AM$4,Setting!$C$30:$C$39,"&lt;="&amp;($AK606-1),Setting!$D$30:$D$39,"&gt;="&amp;($AK606-1))</f>
        <v>181.8</v>
      </c>
    </row>
    <row r="607" ht="15.75" customHeight="1">
      <c r="AK607" s="14">
        <v>602.0</v>
      </c>
      <c r="AL607" s="14">
        <f>AL606+SUMIFS(Setting!$E$30:$E$39,Setting!$A$30:$A$39,AL$4,Setting!$C$30:$C$39,"&lt;="&amp;($AK607-1),Setting!$D$30:$D$39,"&gt;="&amp;($AK607-1))</f>
        <v>212.8</v>
      </c>
      <c r="AM607" s="14">
        <f>AM606+SUMIFS(Setting!$E$30:$E$39,Setting!$A$30:$A$39,AM$4,Setting!$C$30:$C$39,"&lt;="&amp;($AK607-1),Setting!$D$30:$D$39,"&gt;="&amp;($AK607-1))</f>
        <v>182</v>
      </c>
    </row>
    <row r="608" ht="15.75" customHeight="1">
      <c r="AK608" s="14">
        <v>603.0</v>
      </c>
      <c r="AL608" s="14">
        <f>AL607+SUMIFS(Setting!$E$30:$E$39,Setting!$A$30:$A$39,AL$4,Setting!$C$30:$C$39,"&lt;="&amp;($AK608-1),Setting!$D$30:$D$39,"&gt;="&amp;($AK608-1))</f>
        <v>213</v>
      </c>
      <c r="AM608" s="14">
        <f>AM607+SUMIFS(Setting!$E$30:$E$39,Setting!$A$30:$A$39,AM$4,Setting!$C$30:$C$39,"&lt;="&amp;($AK608-1),Setting!$D$30:$D$39,"&gt;="&amp;($AK608-1))</f>
        <v>182.2</v>
      </c>
    </row>
    <row r="609" ht="15.75" customHeight="1">
      <c r="AK609" s="14">
        <v>604.0</v>
      </c>
      <c r="AL609" s="14">
        <f>AL608+SUMIFS(Setting!$E$30:$E$39,Setting!$A$30:$A$39,AL$4,Setting!$C$30:$C$39,"&lt;="&amp;($AK609-1),Setting!$D$30:$D$39,"&gt;="&amp;($AK609-1))</f>
        <v>213.2</v>
      </c>
      <c r="AM609" s="14">
        <f>AM608+SUMIFS(Setting!$E$30:$E$39,Setting!$A$30:$A$39,AM$4,Setting!$C$30:$C$39,"&lt;="&amp;($AK609-1),Setting!$D$30:$D$39,"&gt;="&amp;($AK609-1))</f>
        <v>182.4</v>
      </c>
    </row>
    <row r="610" ht="15.75" customHeight="1">
      <c r="AK610" s="14">
        <v>605.0</v>
      </c>
      <c r="AL610" s="14">
        <f>AL609+SUMIFS(Setting!$E$30:$E$39,Setting!$A$30:$A$39,AL$4,Setting!$C$30:$C$39,"&lt;="&amp;($AK610-1),Setting!$D$30:$D$39,"&gt;="&amp;($AK610-1))</f>
        <v>213.4</v>
      </c>
      <c r="AM610" s="14">
        <f>AM609+SUMIFS(Setting!$E$30:$E$39,Setting!$A$30:$A$39,AM$4,Setting!$C$30:$C$39,"&lt;="&amp;($AK610-1),Setting!$D$30:$D$39,"&gt;="&amp;($AK610-1))</f>
        <v>182.6</v>
      </c>
    </row>
    <row r="611" ht="15.75" customHeight="1">
      <c r="AK611" s="14">
        <v>606.0</v>
      </c>
      <c r="AL611" s="14">
        <f>AL610+SUMIFS(Setting!$E$30:$E$39,Setting!$A$30:$A$39,AL$4,Setting!$C$30:$C$39,"&lt;="&amp;($AK611-1),Setting!$D$30:$D$39,"&gt;="&amp;($AK611-1))</f>
        <v>213.6</v>
      </c>
      <c r="AM611" s="14">
        <f>AM610+SUMIFS(Setting!$E$30:$E$39,Setting!$A$30:$A$39,AM$4,Setting!$C$30:$C$39,"&lt;="&amp;($AK611-1),Setting!$D$30:$D$39,"&gt;="&amp;($AK611-1))</f>
        <v>182.8</v>
      </c>
    </row>
    <row r="612" ht="15.75" customHeight="1">
      <c r="AK612" s="14">
        <v>607.0</v>
      </c>
      <c r="AL612" s="14">
        <f>AL611+SUMIFS(Setting!$E$30:$E$39,Setting!$A$30:$A$39,AL$4,Setting!$C$30:$C$39,"&lt;="&amp;($AK612-1),Setting!$D$30:$D$39,"&gt;="&amp;($AK612-1))</f>
        <v>213.8</v>
      </c>
      <c r="AM612" s="14">
        <f>AM611+SUMIFS(Setting!$E$30:$E$39,Setting!$A$30:$A$39,AM$4,Setting!$C$30:$C$39,"&lt;="&amp;($AK612-1),Setting!$D$30:$D$39,"&gt;="&amp;($AK612-1))</f>
        <v>183</v>
      </c>
    </row>
    <row r="613" ht="15.75" customHeight="1">
      <c r="AK613" s="14">
        <v>608.0</v>
      </c>
      <c r="AL613" s="14">
        <f>AL612+SUMIFS(Setting!$E$30:$E$39,Setting!$A$30:$A$39,AL$4,Setting!$C$30:$C$39,"&lt;="&amp;($AK613-1),Setting!$D$30:$D$39,"&gt;="&amp;($AK613-1))</f>
        <v>214</v>
      </c>
      <c r="AM613" s="14">
        <f>AM612+SUMIFS(Setting!$E$30:$E$39,Setting!$A$30:$A$39,AM$4,Setting!$C$30:$C$39,"&lt;="&amp;($AK613-1),Setting!$D$30:$D$39,"&gt;="&amp;($AK613-1))</f>
        <v>183.2</v>
      </c>
    </row>
    <row r="614" ht="15.75" customHeight="1">
      <c r="AK614" s="14">
        <v>609.0</v>
      </c>
      <c r="AL614" s="14">
        <f>AL613+SUMIFS(Setting!$E$30:$E$39,Setting!$A$30:$A$39,AL$4,Setting!$C$30:$C$39,"&lt;="&amp;($AK614-1),Setting!$D$30:$D$39,"&gt;="&amp;($AK614-1))</f>
        <v>214.2</v>
      </c>
      <c r="AM614" s="14">
        <f>AM613+SUMIFS(Setting!$E$30:$E$39,Setting!$A$30:$A$39,AM$4,Setting!$C$30:$C$39,"&lt;="&amp;($AK614-1),Setting!$D$30:$D$39,"&gt;="&amp;($AK614-1))</f>
        <v>183.4</v>
      </c>
    </row>
    <row r="615" ht="15.75" customHeight="1">
      <c r="AK615" s="14">
        <v>610.0</v>
      </c>
      <c r="AL615" s="14">
        <f>AL614+SUMIFS(Setting!$E$30:$E$39,Setting!$A$30:$A$39,AL$4,Setting!$C$30:$C$39,"&lt;="&amp;($AK615-1),Setting!$D$30:$D$39,"&gt;="&amp;($AK615-1))</f>
        <v>214.4</v>
      </c>
      <c r="AM615" s="14">
        <f>AM614+SUMIFS(Setting!$E$30:$E$39,Setting!$A$30:$A$39,AM$4,Setting!$C$30:$C$39,"&lt;="&amp;($AK615-1),Setting!$D$30:$D$39,"&gt;="&amp;($AK615-1))</f>
        <v>183.6</v>
      </c>
    </row>
    <row r="616" ht="15.75" customHeight="1">
      <c r="AK616" s="14">
        <v>611.0</v>
      </c>
      <c r="AL616" s="14">
        <f>AL615+SUMIFS(Setting!$E$30:$E$39,Setting!$A$30:$A$39,AL$4,Setting!$C$30:$C$39,"&lt;="&amp;($AK616-1),Setting!$D$30:$D$39,"&gt;="&amp;($AK616-1))</f>
        <v>214.6</v>
      </c>
      <c r="AM616" s="14">
        <f>AM615+SUMIFS(Setting!$E$30:$E$39,Setting!$A$30:$A$39,AM$4,Setting!$C$30:$C$39,"&lt;="&amp;($AK616-1),Setting!$D$30:$D$39,"&gt;="&amp;($AK616-1))</f>
        <v>183.8</v>
      </c>
    </row>
    <row r="617" ht="15.75" customHeight="1">
      <c r="AK617" s="14">
        <v>612.0</v>
      </c>
      <c r="AL617" s="14">
        <f>AL616+SUMIFS(Setting!$E$30:$E$39,Setting!$A$30:$A$39,AL$4,Setting!$C$30:$C$39,"&lt;="&amp;($AK617-1),Setting!$D$30:$D$39,"&gt;="&amp;($AK617-1))</f>
        <v>214.8</v>
      </c>
      <c r="AM617" s="14">
        <f>AM616+SUMIFS(Setting!$E$30:$E$39,Setting!$A$30:$A$39,AM$4,Setting!$C$30:$C$39,"&lt;="&amp;($AK617-1),Setting!$D$30:$D$39,"&gt;="&amp;($AK617-1))</f>
        <v>184</v>
      </c>
    </row>
    <row r="618" ht="15.75" customHeight="1">
      <c r="AK618" s="14">
        <v>613.0</v>
      </c>
      <c r="AL618" s="14">
        <f>AL617+SUMIFS(Setting!$E$30:$E$39,Setting!$A$30:$A$39,AL$4,Setting!$C$30:$C$39,"&lt;="&amp;($AK618-1),Setting!$D$30:$D$39,"&gt;="&amp;($AK618-1))</f>
        <v>215</v>
      </c>
      <c r="AM618" s="14">
        <f>AM617+SUMIFS(Setting!$E$30:$E$39,Setting!$A$30:$A$39,AM$4,Setting!$C$30:$C$39,"&lt;="&amp;($AK618-1),Setting!$D$30:$D$39,"&gt;="&amp;($AK618-1))</f>
        <v>184.2</v>
      </c>
    </row>
    <row r="619" ht="15.75" customHeight="1">
      <c r="AK619" s="14">
        <v>614.0</v>
      </c>
      <c r="AL619" s="14">
        <f>AL618+SUMIFS(Setting!$E$30:$E$39,Setting!$A$30:$A$39,AL$4,Setting!$C$30:$C$39,"&lt;="&amp;($AK619-1),Setting!$D$30:$D$39,"&gt;="&amp;($AK619-1))</f>
        <v>215.2</v>
      </c>
      <c r="AM619" s="14">
        <f>AM618+SUMIFS(Setting!$E$30:$E$39,Setting!$A$30:$A$39,AM$4,Setting!$C$30:$C$39,"&lt;="&amp;($AK619-1),Setting!$D$30:$D$39,"&gt;="&amp;($AK619-1))</f>
        <v>184.4</v>
      </c>
    </row>
    <row r="620" ht="15.75" customHeight="1">
      <c r="AK620" s="14">
        <v>615.0</v>
      </c>
      <c r="AL620" s="14">
        <f>AL619+SUMIFS(Setting!$E$30:$E$39,Setting!$A$30:$A$39,AL$4,Setting!$C$30:$C$39,"&lt;="&amp;($AK620-1),Setting!$D$30:$D$39,"&gt;="&amp;($AK620-1))</f>
        <v>215.4</v>
      </c>
      <c r="AM620" s="14">
        <f>AM619+SUMIFS(Setting!$E$30:$E$39,Setting!$A$30:$A$39,AM$4,Setting!$C$30:$C$39,"&lt;="&amp;($AK620-1),Setting!$D$30:$D$39,"&gt;="&amp;($AK620-1))</f>
        <v>184.6</v>
      </c>
    </row>
    <row r="621" ht="15.75" customHeight="1">
      <c r="AK621" s="14">
        <v>616.0</v>
      </c>
      <c r="AL621" s="14">
        <f>AL620+SUMIFS(Setting!$E$30:$E$39,Setting!$A$30:$A$39,AL$4,Setting!$C$30:$C$39,"&lt;="&amp;($AK621-1),Setting!$D$30:$D$39,"&gt;="&amp;($AK621-1))</f>
        <v>215.6</v>
      </c>
      <c r="AM621" s="14">
        <f>AM620+SUMIFS(Setting!$E$30:$E$39,Setting!$A$30:$A$39,AM$4,Setting!$C$30:$C$39,"&lt;="&amp;($AK621-1),Setting!$D$30:$D$39,"&gt;="&amp;($AK621-1))</f>
        <v>184.8</v>
      </c>
    </row>
    <row r="622" ht="15.75" customHeight="1">
      <c r="AK622" s="14">
        <v>617.0</v>
      </c>
      <c r="AL622" s="14">
        <f>AL621+SUMIFS(Setting!$E$30:$E$39,Setting!$A$30:$A$39,AL$4,Setting!$C$30:$C$39,"&lt;="&amp;($AK622-1),Setting!$D$30:$D$39,"&gt;="&amp;($AK622-1))</f>
        <v>215.8</v>
      </c>
      <c r="AM622" s="14">
        <f>AM621+SUMIFS(Setting!$E$30:$E$39,Setting!$A$30:$A$39,AM$4,Setting!$C$30:$C$39,"&lt;="&amp;($AK622-1),Setting!$D$30:$D$39,"&gt;="&amp;($AK622-1))</f>
        <v>185</v>
      </c>
    </row>
    <row r="623" ht="15.75" customHeight="1">
      <c r="AK623" s="14">
        <v>618.0</v>
      </c>
      <c r="AL623" s="14">
        <f>AL622+SUMIFS(Setting!$E$30:$E$39,Setting!$A$30:$A$39,AL$4,Setting!$C$30:$C$39,"&lt;="&amp;($AK623-1),Setting!$D$30:$D$39,"&gt;="&amp;($AK623-1))</f>
        <v>216</v>
      </c>
      <c r="AM623" s="14">
        <f>AM622+SUMIFS(Setting!$E$30:$E$39,Setting!$A$30:$A$39,AM$4,Setting!$C$30:$C$39,"&lt;="&amp;($AK623-1),Setting!$D$30:$D$39,"&gt;="&amp;($AK623-1))</f>
        <v>185.2</v>
      </c>
    </row>
    <row r="624" ht="15.75" customHeight="1">
      <c r="AK624" s="14">
        <v>619.0</v>
      </c>
      <c r="AL624" s="14">
        <f>AL623+SUMIFS(Setting!$E$30:$E$39,Setting!$A$30:$A$39,AL$4,Setting!$C$30:$C$39,"&lt;="&amp;($AK624-1),Setting!$D$30:$D$39,"&gt;="&amp;($AK624-1))</f>
        <v>216.2</v>
      </c>
      <c r="AM624" s="14">
        <f>AM623+SUMIFS(Setting!$E$30:$E$39,Setting!$A$30:$A$39,AM$4,Setting!$C$30:$C$39,"&lt;="&amp;($AK624-1),Setting!$D$30:$D$39,"&gt;="&amp;($AK624-1))</f>
        <v>185.4</v>
      </c>
    </row>
    <row r="625" ht="15.75" customHeight="1">
      <c r="AK625" s="14">
        <v>620.0</v>
      </c>
      <c r="AL625" s="14">
        <f>AL624+SUMIFS(Setting!$E$30:$E$39,Setting!$A$30:$A$39,AL$4,Setting!$C$30:$C$39,"&lt;="&amp;($AK625-1),Setting!$D$30:$D$39,"&gt;="&amp;($AK625-1))</f>
        <v>216.4</v>
      </c>
      <c r="AM625" s="14">
        <f>AM624+SUMIFS(Setting!$E$30:$E$39,Setting!$A$30:$A$39,AM$4,Setting!$C$30:$C$39,"&lt;="&amp;($AK625-1),Setting!$D$30:$D$39,"&gt;="&amp;($AK625-1))</f>
        <v>185.6</v>
      </c>
    </row>
    <row r="626" ht="15.75" customHeight="1">
      <c r="AK626" s="14">
        <v>621.0</v>
      </c>
      <c r="AL626" s="14">
        <f>AL625+SUMIFS(Setting!$E$30:$E$39,Setting!$A$30:$A$39,AL$4,Setting!$C$30:$C$39,"&lt;="&amp;($AK626-1),Setting!$D$30:$D$39,"&gt;="&amp;($AK626-1))</f>
        <v>216.6</v>
      </c>
      <c r="AM626" s="14">
        <f>AM625+SUMIFS(Setting!$E$30:$E$39,Setting!$A$30:$A$39,AM$4,Setting!$C$30:$C$39,"&lt;="&amp;($AK626-1),Setting!$D$30:$D$39,"&gt;="&amp;($AK626-1))</f>
        <v>185.8</v>
      </c>
    </row>
    <row r="627" ht="15.75" customHeight="1">
      <c r="AK627" s="14">
        <v>622.0</v>
      </c>
      <c r="AL627" s="14">
        <f>AL626+SUMIFS(Setting!$E$30:$E$39,Setting!$A$30:$A$39,AL$4,Setting!$C$30:$C$39,"&lt;="&amp;($AK627-1),Setting!$D$30:$D$39,"&gt;="&amp;($AK627-1))</f>
        <v>216.8</v>
      </c>
      <c r="AM627" s="14">
        <f>AM626+SUMIFS(Setting!$E$30:$E$39,Setting!$A$30:$A$39,AM$4,Setting!$C$30:$C$39,"&lt;="&amp;($AK627-1),Setting!$D$30:$D$39,"&gt;="&amp;($AK627-1))</f>
        <v>186</v>
      </c>
    </row>
    <row r="628" ht="15.75" customHeight="1">
      <c r="AK628" s="14">
        <v>623.0</v>
      </c>
      <c r="AL628" s="14">
        <f>AL627+SUMIFS(Setting!$E$30:$E$39,Setting!$A$30:$A$39,AL$4,Setting!$C$30:$C$39,"&lt;="&amp;($AK628-1),Setting!$D$30:$D$39,"&gt;="&amp;($AK628-1))</f>
        <v>217</v>
      </c>
      <c r="AM628" s="14">
        <f>AM627+SUMIFS(Setting!$E$30:$E$39,Setting!$A$30:$A$39,AM$4,Setting!$C$30:$C$39,"&lt;="&amp;($AK628-1),Setting!$D$30:$D$39,"&gt;="&amp;($AK628-1))</f>
        <v>186.2</v>
      </c>
    </row>
    <row r="629" ht="15.75" customHeight="1">
      <c r="AK629" s="14">
        <v>624.0</v>
      </c>
      <c r="AL629" s="14">
        <f>AL628+SUMIFS(Setting!$E$30:$E$39,Setting!$A$30:$A$39,AL$4,Setting!$C$30:$C$39,"&lt;="&amp;($AK629-1),Setting!$D$30:$D$39,"&gt;="&amp;($AK629-1))</f>
        <v>217.2</v>
      </c>
      <c r="AM629" s="14">
        <f>AM628+SUMIFS(Setting!$E$30:$E$39,Setting!$A$30:$A$39,AM$4,Setting!$C$30:$C$39,"&lt;="&amp;($AK629-1),Setting!$D$30:$D$39,"&gt;="&amp;($AK629-1))</f>
        <v>186.4</v>
      </c>
    </row>
    <row r="630" ht="15.75" customHeight="1">
      <c r="AK630" s="14">
        <v>625.0</v>
      </c>
      <c r="AL630" s="14">
        <f>AL629+SUMIFS(Setting!$E$30:$E$39,Setting!$A$30:$A$39,AL$4,Setting!$C$30:$C$39,"&lt;="&amp;($AK630-1),Setting!$D$30:$D$39,"&gt;="&amp;($AK630-1))</f>
        <v>217.4</v>
      </c>
      <c r="AM630" s="14">
        <f>AM629+SUMIFS(Setting!$E$30:$E$39,Setting!$A$30:$A$39,AM$4,Setting!$C$30:$C$39,"&lt;="&amp;($AK630-1),Setting!$D$30:$D$39,"&gt;="&amp;($AK630-1))</f>
        <v>186.6</v>
      </c>
    </row>
    <row r="631" ht="15.75" customHeight="1">
      <c r="AK631" s="14">
        <v>626.0</v>
      </c>
      <c r="AL631" s="14">
        <f>AL630+SUMIFS(Setting!$E$30:$E$39,Setting!$A$30:$A$39,AL$4,Setting!$C$30:$C$39,"&lt;="&amp;($AK631-1),Setting!$D$30:$D$39,"&gt;="&amp;($AK631-1))</f>
        <v>217.6</v>
      </c>
      <c r="AM631" s="14">
        <f>AM630+SUMIFS(Setting!$E$30:$E$39,Setting!$A$30:$A$39,AM$4,Setting!$C$30:$C$39,"&lt;="&amp;($AK631-1),Setting!$D$30:$D$39,"&gt;="&amp;($AK631-1))</f>
        <v>186.8</v>
      </c>
    </row>
    <row r="632" ht="15.75" customHeight="1">
      <c r="AK632" s="14">
        <v>627.0</v>
      </c>
      <c r="AL632" s="14">
        <f>AL631+SUMIFS(Setting!$E$30:$E$39,Setting!$A$30:$A$39,AL$4,Setting!$C$30:$C$39,"&lt;="&amp;($AK632-1),Setting!$D$30:$D$39,"&gt;="&amp;($AK632-1))</f>
        <v>217.8</v>
      </c>
      <c r="AM632" s="14">
        <f>AM631+SUMIFS(Setting!$E$30:$E$39,Setting!$A$30:$A$39,AM$4,Setting!$C$30:$C$39,"&lt;="&amp;($AK632-1),Setting!$D$30:$D$39,"&gt;="&amp;($AK632-1))</f>
        <v>187</v>
      </c>
    </row>
    <row r="633" ht="15.75" customHeight="1">
      <c r="AK633" s="14">
        <v>628.0</v>
      </c>
      <c r="AL633" s="14">
        <f>AL632+SUMIFS(Setting!$E$30:$E$39,Setting!$A$30:$A$39,AL$4,Setting!$C$30:$C$39,"&lt;="&amp;($AK633-1),Setting!$D$30:$D$39,"&gt;="&amp;($AK633-1))</f>
        <v>218</v>
      </c>
      <c r="AM633" s="14">
        <f>AM632+SUMIFS(Setting!$E$30:$E$39,Setting!$A$30:$A$39,AM$4,Setting!$C$30:$C$39,"&lt;="&amp;($AK633-1),Setting!$D$30:$D$39,"&gt;="&amp;($AK633-1))</f>
        <v>187.2</v>
      </c>
    </row>
    <row r="634" ht="15.75" customHeight="1">
      <c r="AK634" s="14">
        <v>629.0</v>
      </c>
      <c r="AL634" s="14">
        <f>AL633+SUMIFS(Setting!$E$30:$E$39,Setting!$A$30:$A$39,AL$4,Setting!$C$30:$C$39,"&lt;="&amp;($AK634-1),Setting!$D$30:$D$39,"&gt;="&amp;($AK634-1))</f>
        <v>218.2</v>
      </c>
      <c r="AM634" s="14">
        <f>AM633+SUMIFS(Setting!$E$30:$E$39,Setting!$A$30:$A$39,AM$4,Setting!$C$30:$C$39,"&lt;="&amp;($AK634-1),Setting!$D$30:$D$39,"&gt;="&amp;($AK634-1))</f>
        <v>187.4</v>
      </c>
    </row>
    <row r="635" ht="15.75" customHeight="1">
      <c r="AK635" s="14">
        <v>630.0</v>
      </c>
      <c r="AL635" s="14">
        <f>AL634+SUMIFS(Setting!$E$30:$E$39,Setting!$A$30:$A$39,AL$4,Setting!$C$30:$C$39,"&lt;="&amp;($AK635-1),Setting!$D$30:$D$39,"&gt;="&amp;($AK635-1))</f>
        <v>218.4</v>
      </c>
      <c r="AM635" s="14">
        <f>AM634+SUMIFS(Setting!$E$30:$E$39,Setting!$A$30:$A$39,AM$4,Setting!$C$30:$C$39,"&lt;="&amp;($AK635-1),Setting!$D$30:$D$39,"&gt;="&amp;($AK635-1))</f>
        <v>187.6</v>
      </c>
    </row>
    <row r="636" ht="15.75" customHeight="1">
      <c r="AK636" s="14">
        <v>631.0</v>
      </c>
      <c r="AL636" s="14">
        <f>AL635+SUMIFS(Setting!$E$30:$E$39,Setting!$A$30:$A$39,AL$4,Setting!$C$30:$C$39,"&lt;="&amp;($AK636-1),Setting!$D$30:$D$39,"&gt;="&amp;($AK636-1))</f>
        <v>218.6</v>
      </c>
      <c r="AM636" s="14">
        <f>AM635+SUMIFS(Setting!$E$30:$E$39,Setting!$A$30:$A$39,AM$4,Setting!$C$30:$C$39,"&lt;="&amp;($AK636-1),Setting!$D$30:$D$39,"&gt;="&amp;($AK636-1))</f>
        <v>187.8</v>
      </c>
    </row>
    <row r="637" ht="15.75" customHeight="1">
      <c r="AK637" s="14">
        <v>632.0</v>
      </c>
      <c r="AL637" s="14">
        <f>AL636+SUMIFS(Setting!$E$30:$E$39,Setting!$A$30:$A$39,AL$4,Setting!$C$30:$C$39,"&lt;="&amp;($AK637-1),Setting!$D$30:$D$39,"&gt;="&amp;($AK637-1))</f>
        <v>218.8</v>
      </c>
      <c r="AM637" s="14">
        <f>AM636+SUMIFS(Setting!$E$30:$E$39,Setting!$A$30:$A$39,AM$4,Setting!$C$30:$C$39,"&lt;="&amp;($AK637-1),Setting!$D$30:$D$39,"&gt;="&amp;($AK637-1))</f>
        <v>188</v>
      </c>
    </row>
    <row r="638" ht="15.75" customHeight="1">
      <c r="AK638" s="14">
        <v>633.0</v>
      </c>
      <c r="AL638" s="14">
        <f>AL637+SUMIFS(Setting!$E$30:$E$39,Setting!$A$30:$A$39,AL$4,Setting!$C$30:$C$39,"&lt;="&amp;($AK638-1),Setting!$D$30:$D$39,"&gt;="&amp;($AK638-1))</f>
        <v>219</v>
      </c>
      <c r="AM638" s="14">
        <f>AM637+SUMIFS(Setting!$E$30:$E$39,Setting!$A$30:$A$39,AM$4,Setting!$C$30:$C$39,"&lt;="&amp;($AK638-1),Setting!$D$30:$D$39,"&gt;="&amp;($AK638-1))</f>
        <v>188.2</v>
      </c>
    </row>
    <row r="639" ht="15.75" customHeight="1">
      <c r="AK639" s="14">
        <v>634.0</v>
      </c>
      <c r="AL639" s="14">
        <f>AL638+SUMIFS(Setting!$E$30:$E$39,Setting!$A$30:$A$39,AL$4,Setting!$C$30:$C$39,"&lt;="&amp;($AK639-1),Setting!$D$30:$D$39,"&gt;="&amp;($AK639-1))</f>
        <v>219.2</v>
      </c>
      <c r="AM639" s="14">
        <f>AM638+SUMIFS(Setting!$E$30:$E$39,Setting!$A$30:$A$39,AM$4,Setting!$C$30:$C$39,"&lt;="&amp;($AK639-1),Setting!$D$30:$D$39,"&gt;="&amp;($AK639-1))</f>
        <v>188.4</v>
      </c>
    </row>
    <row r="640" ht="15.75" customHeight="1">
      <c r="AK640" s="14">
        <v>635.0</v>
      </c>
      <c r="AL640" s="14">
        <f>AL639+SUMIFS(Setting!$E$30:$E$39,Setting!$A$30:$A$39,AL$4,Setting!$C$30:$C$39,"&lt;="&amp;($AK640-1),Setting!$D$30:$D$39,"&gt;="&amp;($AK640-1))</f>
        <v>219.4</v>
      </c>
      <c r="AM640" s="14">
        <f>AM639+SUMIFS(Setting!$E$30:$E$39,Setting!$A$30:$A$39,AM$4,Setting!$C$30:$C$39,"&lt;="&amp;($AK640-1),Setting!$D$30:$D$39,"&gt;="&amp;($AK640-1))</f>
        <v>188.6</v>
      </c>
    </row>
    <row r="641" ht="15.75" customHeight="1">
      <c r="AK641" s="14">
        <v>636.0</v>
      </c>
      <c r="AL641" s="14">
        <f>AL640+SUMIFS(Setting!$E$30:$E$39,Setting!$A$30:$A$39,AL$4,Setting!$C$30:$C$39,"&lt;="&amp;($AK641-1),Setting!$D$30:$D$39,"&gt;="&amp;($AK641-1))</f>
        <v>219.6</v>
      </c>
      <c r="AM641" s="14">
        <f>AM640+SUMIFS(Setting!$E$30:$E$39,Setting!$A$30:$A$39,AM$4,Setting!$C$30:$C$39,"&lt;="&amp;($AK641-1),Setting!$D$30:$D$39,"&gt;="&amp;($AK641-1))</f>
        <v>188.8</v>
      </c>
    </row>
    <row r="642" ht="15.75" customHeight="1">
      <c r="AK642" s="14">
        <v>637.0</v>
      </c>
      <c r="AL642" s="14">
        <f>AL641+SUMIFS(Setting!$E$30:$E$39,Setting!$A$30:$A$39,AL$4,Setting!$C$30:$C$39,"&lt;="&amp;($AK642-1),Setting!$D$30:$D$39,"&gt;="&amp;($AK642-1))</f>
        <v>219.8</v>
      </c>
      <c r="AM642" s="14">
        <f>AM641+SUMIFS(Setting!$E$30:$E$39,Setting!$A$30:$A$39,AM$4,Setting!$C$30:$C$39,"&lt;="&amp;($AK642-1),Setting!$D$30:$D$39,"&gt;="&amp;($AK642-1))</f>
        <v>189</v>
      </c>
    </row>
    <row r="643" ht="15.75" customHeight="1">
      <c r="AK643" s="14">
        <v>638.0</v>
      </c>
      <c r="AL643" s="14">
        <f>AL642+SUMIFS(Setting!$E$30:$E$39,Setting!$A$30:$A$39,AL$4,Setting!$C$30:$C$39,"&lt;="&amp;($AK643-1),Setting!$D$30:$D$39,"&gt;="&amp;($AK643-1))</f>
        <v>220</v>
      </c>
      <c r="AM643" s="14">
        <f>AM642+SUMIFS(Setting!$E$30:$E$39,Setting!$A$30:$A$39,AM$4,Setting!$C$30:$C$39,"&lt;="&amp;($AK643-1),Setting!$D$30:$D$39,"&gt;="&amp;($AK643-1))</f>
        <v>189.2</v>
      </c>
    </row>
    <row r="644" ht="15.75" customHeight="1">
      <c r="AK644" s="14">
        <v>639.0</v>
      </c>
      <c r="AL644" s="14">
        <f>AL643+SUMIFS(Setting!$E$30:$E$39,Setting!$A$30:$A$39,AL$4,Setting!$C$30:$C$39,"&lt;="&amp;($AK644-1),Setting!$D$30:$D$39,"&gt;="&amp;($AK644-1))</f>
        <v>220.2</v>
      </c>
      <c r="AM644" s="14">
        <f>AM643+SUMIFS(Setting!$E$30:$E$39,Setting!$A$30:$A$39,AM$4,Setting!$C$30:$C$39,"&lt;="&amp;($AK644-1),Setting!$D$30:$D$39,"&gt;="&amp;($AK644-1))</f>
        <v>189.4</v>
      </c>
    </row>
    <row r="645" ht="15.75" customHeight="1">
      <c r="AK645" s="14">
        <v>640.0</v>
      </c>
      <c r="AL645" s="14">
        <f>AL644+SUMIFS(Setting!$E$30:$E$39,Setting!$A$30:$A$39,AL$4,Setting!$C$30:$C$39,"&lt;="&amp;($AK645-1),Setting!$D$30:$D$39,"&gt;="&amp;($AK645-1))</f>
        <v>220.4</v>
      </c>
      <c r="AM645" s="14">
        <f>AM644+SUMIFS(Setting!$E$30:$E$39,Setting!$A$30:$A$39,AM$4,Setting!$C$30:$C$39,"&lt;="&amp;($AK645-1),Setting!$D$30:$D$39,"&gt;="&amp;($AK645-1))</f>
        <v>189.6</v>
      </c>
    </row>
    <row r="646" ht="15.75" customHeight="1">
      <c r="AK646" s="14">
        <v>641.0</v>
      </c>
      <c r="AL646" s="14">
        <f>AL645+SUMIFS(Setting!$E$30:$E$39,Setting!$A$30:$A$39,AL$4,Setting!$C$30:$C$39,"&lt;="&amp;($AK646-1),Setting!$D$30:$D$39,"&gt;="&amp;($AK646-1))</f>
        <v>220.6</v>
      </c>
      <c r="AM646" s="14">
        <f>AM645+SUMIFS(Setting!$E$30:$E$39,Setting!$A$30:$A$39,AM$4,Setting!$C$30:$C$39,"&lt;="&amp;($AK646-1),Setting!$D$30:$D$39,"&gt;="&amp;($AK646-1))</f>
        <v>189.8</v>
      </c>
    </row>
    <row r="647" ht="15.75" customHeight="1">
      <c r="AK647" s="14">
        <v>642.0</v>
      </c>
      <c r="AL647" s="14">
        <f>AL646+SUMIFS(Setting!$E$30:$E$39,Setting!$A$30:$A$39,AL$4,Setting!$C$30:$C$39,"&lt;="&amp;($AK647-1),Setting!$D$30:$D$39,"&gt;="&amp;($AK647-1))</f>
        <v>220.8</v>
      </c>
      <c r="AM647" s="14">
        <f>AM646+SUMIFS(Setting!$E$30:$E$39,Setting!$A$30:$A$39,AM$4,Setting!$C$30:$C$39,"&lt;="&amp;($AK647-1),Setting!$D$30:$D$39,"&gt;="&amp;($AK647-1))</f>
        <v>190</v>
      </c>
    </row>
    <row r="648" ht="15.75" customHeight="1">
      <c r="AK648" s="14">
        <v>643.0</v>
      </c>
      <c r="AL648" s="14">
        <f>AL647+SUMIFS(Setting!$E$30:$E$39,Setting!$A$30:$A$39,AL$4,Setting!$C$30:$C$39,"&lt;="&amp;($AK648-1),Setting!$D$30:$D$39,"&gt;="&amp;($AK648-1))</f>
        <v>221</v>
      </c>
      <c r="AM648" s="14">
        <f>AM647+SUMIFS(Setting!$E$30:$E$39,Setting!$A$30:$A$39,AM$4,Setting!$C$30:$C$39,"&lt;="&amp;($AK648-1),Setting!$D$30:$D$39,"&gt;="&amp;($AK648-1))</f>
        <v>190.2</v>
      </c>
    </row>
    <row r="649" ht="15.75" customHeight="1">
      <c r="AK649" s="14">
        <v>644.0</v>
      </c>
      <c r="AL649" s="14">
        <f>AL648+SUMIFS(Setting!$E$30:$E$39,Setting!$A$30:$A$39,AL$4,Setting!$C$30:$C$39,"&lt;="&amp;($AK649-1),Setting!$D$30:$D$39,"&gt;="&amp;($AK649-1))</f>
        <v>221.2</v>
      </c>
      <c r="AM649" s="14">
        <f>AM648+SUMIFS(Setting!$E$30:$E$39,Setting!$A$30:$A$39,AM$4,Setting!$C$30:$C$39,"&lt;="&amp;($AK649-1),Setting!$D$30:$D$39,"&gt;="&amp;($AK649-1))</f>
        <v>190.4</v>
      </c>
    </row>
    <row r="650" ht="15.75" customHeight="1">
      <c r="AK650" s="14">
        <v>645.0</v>
      </c>
      <c r="AL650" s="14">
        <f>AL649+SUMIFS(Setting!$E$30:$E$39,Setting!$A$30:$A$39,AL$4,Setting!$C$30:$C$39,"&lt;="&amp;($AK650-1),Setting!$D$30:$D$39,"&gt;="&amp;($AK650-1))</f>
        <v>221.4</v>
      </c>
      <c r="AM650" s="14">
        <f>AM649+SUMIFS(Setting!$E$30:$E$39,Setting!$A$30:$A$39,AM$4,Setting!$C$30:$C$39,"&lt;="&amp;($AK650-1),Setting!$D$30:$D$39,"&gt;="&amp;($AK650-1))</f>
        <v>190.6</v>
      </c>
    </row>
    <row r="651" ht="15.75" customHeight="1">
      <c r="AK651" s="14">
        <v>646.0</v>
      </c>
      <c r="AL651" s="14">
        <f>AL650+SUMIFS(Setting!$E$30:$E$39,Setting!$A$30:$A$39,AL$4,Setting!$C$30:$C$39,"&lt;="&amp;($AK651-1),Setting!$D$30:$D$39,"&gt;="&amp;($AK651-1))</f>
        <v>221.6</v>
      </c>
      <c r="AM651" s="14">
        <f>AM650+SUMIFS(Setting!$E$30:$E$39,Setting!$A$30:$A$39,AM$4,Setting!$C$30:$C$39,"&lt;="&amp;($AK651-1),Setting!$D$30:$D$39,"&gt;="&amp;($AK651-1))</f>
        <v>190.8</v>
      </c>
    </row>
    <row r="652" ht="15.75" customHeight="1">
      <c r="AK652" s="14">
        <v>647.0</v>
      </c>
      <c r="AL652" s="14">
        <f>AL651+SUMIFS(Setting!$E$30:$E$39,Setting!$A$30:$A$39,AL$4,Setting!$C$30:$C$39,"&lt;="&amp;($AK652-1),Setting!$D$30:$D$39,"&gt;="&amp;($AK652-1))</f>
        <v>221.8</v>
      </c>
      <c r="AM652" s="14">
        <f>AM651+SUMIFS(Setting!$E$30:$E$39,Setting!$A$30:$A$39,AM$4,Setting!$C$30:$C$39,"&lt;="&amp;($AK652-1),Setting!$D$30:$D$39,"&gt;="&amp;($AK652-1))</f>
        <v>191</v>
      </c>
    </row>
    <row r="653" ht="15.75" customHeight="1">
      <c r="AK653" s="14">
        <v>648.0</v>
      </c>
      <c r="AL653" s="14">
        <f>AL652+SUMIFS(Setting!$E$30:$E$39,Setting!$A$30:$A$39,AL$4,Setting!$C$30:$C$39,"&lt;="&amp;($AK653-1),Setting!$D$30:$D$39,"&gt;="&amp;($AK653-1))</f>
        <v>222</v>
      </c>
      <c r="AM653" s="14">
        <f>AM652+SUMIFS(Setting!$E$30:$E$39,Setting!$A$30:$A$39,AM$4,Setting!$C$30:$C$39,"&lt;="&amp;($AK653-1),Setting!$D$30:$D$39,"&gt;="&amp;($AK653-1))</f>
        <v>191.2</v>
      </c>
    </row>
    <row r="654" ht="15.75" customHeight="1">
      <c r="AK654" s="14">
        <v>649.0</v>
      </c>
      <c r="AL654" s="14">
        <f>AL653+SUMIFS(Setting!$E$30:$E$39,Setting!$A$30:$A$39,AL$4,Setting!$C$30:$C$39,"&lt;="&amp;($AK654-1),Setting!$D$30:$D$39,"&gt;="&amp;($AK654-1))</f>
        <v>222.2</v>
      </c>
      <c r="AM654" s="14">
        <f>AM653+SUMIFS(Setting!$E$30:$E$39,Setting!$A$30:$A$39,AM$4,Setting!$C$30:$C$39,"&lt;="&amp;($AK654-1),Setting!$D$30:$D$39,"&gt;="&amp;($AK654-1))</f>
        <v>191.4</v>
      </c>
    </row>
    <row r="655" ht="15.75" customHeight="1">
      <c r="AK655" s="14">
        <v>650.0</v>
      </c>
      <c r="AL655" s="14">
        <f>AL654+SUMIFS(Setting!$E$30:$E$39,Setting!$A$30:$A$39,AL$4,Setting!$C$30:$C$39,"&lt;="&amp;($AK655-1),Setting!$D$30:$D$39,"&gt;="&amp;($AK655-1))</f>
        <v>222.4</v>
      </c>
      <c r="AM655" s="14">
        <f>AM654+SUMIFS(Setting!$E$30:$E$39,Setting!$A$30:$A$39,AM$4,Setting!$C$30:$C$39,"&lt;="&amp;($AK655-1),Setting!$D$30:$D$39,"&gt;="&amp;($AK655-1))</f>
        <v>191.6</v>
      </c>
    </row>
    <row r="656" ht="15.75" customHeight="1">
      <c r="AK656" s="14">
        <v>651.0</v>
      </c>
      <c r="AL656" s="14">
        <f>AL655+SUMIFS(Setting!$E$30:$E$39,Setting!$A$30:$A$39,AL$4,Setting!$C$30:$C$39,"&lt;="&amp;($AK656-1),Setting!$D$30:$D$39,"&gt;="&amp;($AK656-1))</f>
        <v>222.6</v>
      </c>
      <c r="AM656" s="14">
        <f>AM655+SUMIFS(Setting!$E$30:$E$39,Setting!$A$30:$A$39,AM$4,Setting!$C$30:$C$39,"&lt;="&amp;($AK656-1),Setting!$D$30:$D$39,"&gt;="&amp;($AK656-1))</f>
        <v>191.8</v>
      </c>
    </row>
    <row r="657" ht="15.75" customHeight="1">
      <c r="AK657" s="14">
        <v>652.0</v>
      </c>
      <c r="AL657" s="14">
        <f>AL656+SUMIFS(Setting!$E$30:$E$39,Setting!$A$30:$A$39,AL$4,Setting!$C$30:$C$39,"&lt;="&amp;($AK657-1),Setting!$D$30:$D$39,"&gt;="&amp;($AK657-1))</f>
        <v>222.8</v>
      </c>
      <c r="AM657" s="14">
        <f>AM656+SUMIFS(Setting!$E$30:$E$39,Setting!$A$30:$A$39,AM$4,Setting!$C$30:$C$39,"&lt;="&amp;($AK657-1),Setting!$D$30:$D$39,"&gt;="&amp;($AK657-1))</f>
        <v>192</v>
      </c>
    </row>
    <row r="658" ht="15.75" customHeight="1">
      <c r="AK658" s="14">
        <v>653.0</v>
      </c>
      <c r="AL658" s="14">
        <f>AL657+SUMIFS(Setting!$E$30:$E$39,Setting!$A$30:$A$39,AL$4,Setting!$C$30:$C$39,"&lt;="&amp;($AK658-1),Setting!$D$30:$D$39,"&gt;="&amp;($AK658-1))</f>
        <v>223</v>
      </c>
      <c r="AM658" s="14">
        <f>AM657+SUMIFS(Setting!$E$30:$E$39,Setting!$A$30:$A$39,AM$4,Setting!$C$30:$C$39,"&lt;="&amp;($AK658-1),Setting!$D$30:$D$39,"&gt;="&amp;($AK658-1))</f>
        <v>192.2</v>
      </c>
    </row>
    <row r="659" ht="15.75" customHeight="1">
      <c r="AK659" s="14">
        <v>654.0</v>
      </c>
      <c r="AL659" s="14">
        <f>AL658+SUMIFS(Setting!$E$30:$E$39,Setting!$A$30:$A$39,AL$4,Setting!$C$30:$C$39,"&lt;="&amp;($AK659-1),Setting!$D$30:$D$39,"&gt;="&amp;($AK659-1))</f>
        <v>223.2</v>
      </c>
      <c r="AM659" s="14">
        <f>AM658+SUMIFS(Setting!$E$30:$E$39,Setting!$A$30:$A$39,AM$4,Setting!$C$30:$C$39,"&lt;="&amp;($AK659-1),Setting!$D$30:$D$39,"&gt;="&amp;($AK659-1))</f>
        <v>192.4</v>
      </c>
    </row>
    <row r="660" ht="15.75" customHeight="1">
      <c r="AK660" s="14">
        <v>655.0</v>
      </c>
      <c r="AL660" s="14">
        <f>AL659+SUMIFS(Setting!$E$30:$E$39,Setting!$A$30:$A$39,AL$4,Setting!$C$30:$C$39,"&lt;="&amp;($AK660-1),Setting!$D$30:$D$39,"&gt;="&amp;($AK660-1))</f>
        <v>223.4</v>
      </c>
      <c r="AM660" s="14">
        <f>AM659+SUMIFS(Setting!$E$30:$E$39,Setting!$A$30:$A$39,AM$4,Setting!$C$30:$C$39,"&lt;="&amp;($AK660-1),Setting!$D$30:$D$39,"&gt;="&amp;($AK660-1))</f>
        <v>192.6</v>
      </c>
    </row>
    <row r="661" ht="15.75" customHeight="1">
      <c r="AK661" s="14">
        <v>656.0</v>
      </c>
      <c r="AL661" s="14">
        <f>AL660+SUMIFS(Setting!$E$30:$E$39,Setting!$A$30:$A$39,AL$4,Setting!$C$30:$C$39,"&lt;="&amp;($AK661-1),Setting!$D$30:$D$39,"&gt;="&amp;($AK661-1))</f>
        <v>223.6</v>
      </c>
      <c r="AM661" s="14">
        <f>AM660+SUMIFS(Setting!$E$30:$E$39,Setting!$A$30:$A$39,AM$4,Setting!$C$30:$C$39,"&lt;="&amp;($AK661-1),Setting!$D$30:$D$39,"&gt;="&amp;($AK661-1))</f>
        <v>192.8</v>
      </c>
    </row>
    <row r="662" ht="15.75" customHeight="1">
      <c r="AK662" s="14">
        <v>657.0</v>
      </c>
      <c r="AL662" s="14">
        <f>AL661+SUMIFS(Setting!$E$30:$E$39,Setting!$A$30:$A$39,AL$4,Setting!$C$30:$C$39,"&lt;="&amp;($AK662-1),Setting!$D$30:$D$39,"&gt;="&amp;($AK662-1))</f>
        <v>223.8</v>
      </c>
      <c r="AM662" s="14">
        <f>AM661+SUMIFS(Setting!$E$30:$E$39,Setting!$A$30:$A$39,AM$4,Setting!$C$30:$C$39,"&lt;="&amp;($AK662-1),Setting!$D$30:$D$39,"&gt;="&amp;($AK662-1))</f>
        <v>193</v>
      </c>
    </row>
    <row r="663" ht="15.75" customHeight="1">
      <c r="AK663" s="14">
        <v>658.0</v>
      </c>
      <c r="AL663" s="14">
        <f>AL662+SUMIFS(Setting!$E$30:$E$39,Setting!$A$30:$A$39,AL$4,Setting!$C$30:$C$39,"&lt;="&amp;($AK663-1),Setting!$D$30:$D$39,"&gt;="&amp;($AK663-1))</f>
        <v>224</v>
      </c>
      <c r="AM663" s="14">
        <f>AM662+SUMIFS(Setting!$E$30:$E$39,Setting!$A$30:$A$39,AM$4,Setting!$C$30:$C$39,"&lt;="&amp;($AK663-1),Setting!$D$30:$D$39,"&gt;="&amp;($AK663-1))</f>
        <v>193.2</v>
      </c>
    </row>
    <row r="664" ht="15.75" customHeight="1">
      <c r="AK664" s="14">
        <v>659.0</v>
      </c>
      <c r="AL664" s="14">
        <f>AL663+SUMIFS(Setting!$E$30:$E$39,Setting!$A$30:$A$39,AL$4,Setting!$C$30:$C$39,"&lt;="&amp;($AK664-1),Setting!$D$30:$D$39,"&gt;="&amp;($AK664-1))</f>
        <v>224.2</v>
      </c>
      <c r="AM664" s="14">
        <f>AM663+SUMIFS(Setting!$E$30:$E$39,Setting!$A$30:$A$39,AM$4,Setting!$C$30:$C$39,"&lt;="&amp;($AK664-1),Setting!$D$30:$D$39,"&gt;="&amp;($AK664-1))</f>
        <v>193.4</v>
      </c>
    </row>
    <row r="665" ht="15.75" customHeight="1">
      <c r="AK665" s="14">
        <v>660.0</v>
      </c>
      <c r="AL665" s="14">
        <f>AL664+SUMIFS(Setting!$E$30:$E$39,Setting!$A$30:$A$39,AL$4,Setting!$C$30:$C$39,"&lt;="&amp;($AK665-1),Setting!$D$30:$D$39,"&gt;="&amp;($AK665-1))</f>
        <v>224.4</v>
      </c>
      <c r="AM665" s="14">
        <f>AM664+SUMIFS(Setting!$E$30:$E$39,Setting!$A$30:$A$39,AM$4,Setting!$C$30:$C$39,"&lt;="&amp;($AK665-1),Setting!$D$30:$D$39,"&gt;="&amp;($AK665-1))</f>
        <v>193.6</v>
      </c>
    </row>
    <row r="666" ht="15.75" customHeight="1">
      <c r="AK666" s="14">
        <v>661.0</v>
      </c>
      <c r="AL666" s="14">
        <f>AL665+SUMIFS(Setting!$E$30:$E$39,Setting!$A$30:$A$39,AL$4,Setting!$C$30:$C$39,"&lt;="&amp;($AK666-1),Setting!$D$30:$D$39,"&gt;="&amp;($AK666-1))</f>
        <v>224.6</v>
      </c>
      <c r="AM666" s="14">
        <f>AM665+SUMIFS(Setting!$E$30:$E$39,Setting!$A$30:$A$39,AM$4,Setting!$C$30:$C$39,"&lt;="&amp;($AK666-1),Setting!$D$30:$D$39,"&gt;="&amp;($AK666-1))</f>
        <v>193.8</v>
      </c>
    </row>
    <row r="667" ht="15.75" customHeight="1">
      <c r="AK667" s="14">
        <v>662.0</v>
      </c>
      <c r="AL667" s="14">
        <f>AL666+SUMIFS(Setting!$E$30:$E$39,Setting!$A$30:$A$39,AL$4,Setting!$C$30:$C$39,"&lt;="&amp;($AK667-1),Setting!$D$30:$D$39,"&gt;="&amp;($AK667-1))</f>
        <v>224.8</v>
      </c>
      <c r="AM667" s="14">
        <f>AM666+SUMIFS(Setting!$E$30:$E$39,Setting!$A$30:$A$39,AM$4,Setting!$C$30:$C$39,"&lt;="&amp;($AK667-1),Setting!$D$30:$D$39,"&gt;="&amp;($AK667-1))</f>
        <v>194</v>
      </c>
    </row>
    <row r="668" ht="15.75" customHeight="1">
      <c r="AK668" s="14">
        <v>663.0</v>
      </c>
      <c r="AL668" s="14">
        <f>AL667+SUMIFS(Setting!$E$30:$E$39,Setting!$A$30:$A$39,AL$4,Setting!$C$30:$C$39,"&lt;="&amp;($AK668-1),Setting!$D$30:$D$39,"&gt;="&amp;($AK668-1))</f>
        <v>225</v>
      </c>
      <c r="AM668" s="14">
        <f>AM667+SUMIFS(Setting!$E$30:$E$39,Setting!$A$30:$A$39,AM$4,Setting!$C$30:$C$39,"&lt;="&amp;($AK668-1),Setting!$D$30:$D$39,"&gt;="&amp;($AK668-1))</f>
        <v>194.2</v>
      </c>
    </row>
    <row r="669" ht="15.75" customHeight="1">
      <c r="AK669" s="14">
        <v>664.0</v>
      </c>
      <c r="AL669" s="14">
        <f>AL668+SUMIFS(Setting!$E$30:$E$39,Setting!$A$30:$A$39,AL$4,Setting!$C$30:$C$39,"&lt;="&amp;($AK669-1),Setting!$D$30:$D$39,"&gt;="&amp;($AK669-1))</f>
        <v>225.2</v>
      </c>
      <c r="AM669" s="14">
        <f>AM668+SUMIFS(Setting!$E$30:$E$39,Setting!$A$30:$A$39,AM$4,Setting!$C$30:$C$39,"&lt;="&amp;($AK669-1),Setting!$D$30:$D$39,"&gt;="&amp;($AK669-1))</f>
        <v>194.4</v>
      </c>
    </row>
    <row r="670" ht="15.75" customHeight="1">
      <c r="AK670" s="14">
        <v>665.0</v>
      </c>
      <c r="AL670" s="14">
        <f>AL669+SUMIFS(Setting!$E$30:$E$39,Setting!$A$30:$A$39,AL$4,Setting!$C$30:$C$39,"&lt;="&amp;($AK670-1),Setting!$D$30:$D$39,"&gt;="&amp;($AK670-1))</f>
        <v>225.4</v>
      </c>
      <c r="AM670" s="14">
        <f>AM669+SUMIFS(Setting!$E$30:$E$39,Setting!$A$30:$A$39,AM$4,Setting!$C$30:$C$39,"&lt;="&amp;($AK670-1),Setting!$D$30:$D$39,"&gt;="&amp;($AK670-1))</f>
        <v>194.6</v>
      </c>
    </row>
    <row r="671" ht="15.75" customHeight="1">
      <c r="AK671" s="14">
        <v>666.0</v>
      </c>
      <c r="AL671" s="14">
        <f>AL670+SUMIFS(Setting!$E$30:$E$39,Setting!$A$30:$A$39,AL$4,Setting!$C$30:$C$39,"&lt;="&amp;($AK671-1),Setting!$D$30:$D$39,"&gt;="&amp;($AK671-1))</f>
        <v>225.6</v>
      </c>
      <c r="AM671" s="14">
        <f>AM670+SUMIFS(Setting!$E$30:$E$39,Setting!$A$30:$A$39,AM$4,Setting!$C$30:$C$39,"&lt;="&amp;($AK671-1),Setting!$D$30:$D$39,"&gt;="&amp;($AK671-1))</f>
        <v>194.8</v>
      </c>
    </row>
    <row r="672" ht="15.75" customHeight="1">
      <c r="AK672" s="14">
        <v>667.0</v>
      </c>
      <c r="AL672" s="14">
        <f>AL671+SUMIFS(Setting!$E$30:$E$39,Setting!$A$30:$A$39,AL$4,Setting!$C$30:$C$39,"&lt;="&amp;($AK672-1),Setting!$D$30:$D$39,"&gt;="&amp;($AK672-1))</f>
        <v>225.8</v>
      </c>
      <c r="AM672" s="14">
        <f>AM671+SUMIFS(Setting!$E$30:$E$39,Setting!$A$30:$A$39,AM$4,Setting!$C$30:$C$39,"&lt;="&amp;($AK672-1),Setting!$D$30:$D$39,"&gt;="&amp;($AK672-1))</f>
        <v>195</v>
      </c>
    </row>
    <row r="673" ht="15.75" customHeight="1">
      <c r="AK673" s="14">
        <v>668.0</v>
      </c>
      <c r="AL673" s="14">
        <f>AL672+SUMIFS(Setting!$E$30:$E$39,Setting!$A$30:$A$39,AL$4,Setting!$C$30:$C$39,"&lt;="&amp;($AK673-1),Setting!$D$30:$D$39,"&gt;="&amp;($AK673-1))</f>
        <v>226</v>
      </c>
      <c r="AM673" s="14">
        <f>AM672+SUMIFS(Setting!$E$30:$E$39,Setting!$A$30:$A$39,AM$4,Setting!$C$30:$C$39,"&lt;="&amp;($AK673-1),Setting!$D$30:$D$39,"&gt;="&amp;($AK673-1))</f>
        <v>195.2</v>
      </c>
    </row>
    <row r="674" ht="15.75" customHeight="1">
      <c r="AK674" s="14">
        <v>669.0</v>
      </c>
      <c r="AL674" s="14">
        <f>AL673+SUMIFS(Setting!$E$30:$E$39,Setting!$A$30:$A$39,AL$4,Setting!$C$30:$C$39,"&lt;="&amp;($AK674-1),Setting!$D$30:$D$39,"&gt;="&amp;($AK674-1))</f>
        <v>226.2</v>
      </c>
      <c r="AM674" s="14">
        <f>AM673+SUMIFS(Setting!$E$30:$E$39,Setting!$A$30:$A$39,AM$4,Setting!$C$30:$C$39,"&lt;="&amp;($AK674-1),Setting!$D$30:$D$39,"&gt;="&amp;($AK674-1))</f>
        <v>195.4</v>
      </c>
    </row>
    <row r="675" ht="15.75" customHeight="1">
      <c r="AK675" s="14">
        <v>670.0</v>
      </c>
      <c r="AL675" s="14">
        <f>AL674+SUMIFS(Setting!$E$30:$E$39,Setting!$A$30:$A$39,AL$4,Setting!$C$30:$C$39,"&lt;="&amp;($AK675-1),Setting!$D$30:$D$39,"&gt;="&amp;($AK675-1))</f>
        <v>226.4</v>
      </c>
      <c r="AM675" s="14">
        <f>AM674+SUMIFS(Setting!$E$30:$E$39,Setting!$A$30:$A$39,AM$4,Setting!$C$30:$C$39,"&lt;="&amp;($AK675-1),Setting!$D$30:$D$39,"&gt;="&amp;($AK675-1))</f>
        <v>195.6</v>
      </c>
    </row>
    <row r="676" ht="15.75" customHeight="1">
      <c r="AK676" s="14">
        <v>671.0</v>
      </c>
      <c r="AL676" s="14">
        <f>AL675+SUMIFS(Setting!$E$30:$E$39,Setting!$A$30:$A$39,AL$4,Setting!$C$30:$C$39,"&lt;="&amp;($AK676-1),Setting!$D$30:$D$39,"&gt;="&amp;($AK676-1))</f>
        <v>226.6</v>
      </c>
      <c r="AM676" s="14">
        <f>AM675+SUMIFS(Setting!$E$30:$E$39,Setting!$A$30:$A$39,AM$4,Setting!$C$30:$C$39,"&lt;="&amp;($AK676-1),Setting!$D$30:$D$39,"&gt;="&amp;($AK676-1))</f>
        <v>195.8</v>
      </c>
    </row>
    <row r="677" ht="15.75" customHeight="1">
      <c r="AK677" s="14">
        <v>672.0</v>
      </c>
      <c r="AL677" s="14">
        <f>AL676+SUMIFS(Setting!$E$30:$E$39,Setting!$A$30:$A$39,AL$4,Setting!$C$30:$C$39,"&lt;="&amp;($AK677-1),Setting!$D$30:$D$39,"&gt;="&amp;($AK677-1))</f>
        <v>226.8</v>
      </c>
      <c r="AM677" s="14">
        <f>AM676+SUMIFS(Setting!$E$30:$E$39,Setting!$A$30:$A$39,AM$4,Setting!$C$30:$C$39,"&lt;="&amp;($AK677-1),Setting!$D$30:$D$39,"&gt;="&amp;($AK677-1))</f>
        <v>196</v>
      </c>
    </row>
    <row r="678" ht="15.75" customHeight="1">
      <c r="AK678" s="14">
        <v>673.0</v>
      </c>
      <c r="AL678" s="14">
        <f>AL677+SUMIFS(Setting!$E$30:$E$39,Setting!$A$30:$A$39,AL$4,Setting!$C$30:$C$39,"&lt;="&amp;($AK678-1),Setting!$D$30:$D$39,"&gt;="&amp;($AK678-1))</f>
        <v>227</v>
      </c>
      <c r="AM678" s="14">
        <f>AM677+SUMIFS(Setting!$E$30:$E$39,Setting!$A$30:$A$39,AM$4,Setting!$C$30:$C$39,"&lt;="&amp;($AK678-1),Setting!$D$30:$D$39,"&gt;="&amp;($AK678-1))</f>
        <v>196.2</v>
      </c>
    </row>
    <row r="679" ht="15.75" customHeight="1">
      <c r="AK679" s="14">
        <v>674.0</v>
      </c>
      <c r="AL679" s="14">
        <f>AL678+SUMIFS(Setting!$E$30:$E$39,Setting!$A$30:$A$39,AL$4,Setting!$C$30:$C$39,"&lt;="&amp;($AK679-1),Setting!$D$30:$D$39,"&gt;="&amp;($AK679-1))</f>
        <v>227.2</v>
      </c>
      <c r="AM679" s="14">
        <f>AM678+SUMIFS(Setting!$E$30:$E$39,Setting!$A$30:$A$39,AM$4,Setting!$C$30:$C$39,"&lt;="&amp;($AK679-1),Setting!$D$30:$D$39,"&gt;="&amp;($AK679-1))</f>
        <v>196.4</v>
      </c>
    </row>
    <row r="680" ht="15.75" customHeight="1">
      <c r="AK680" s="14">
        <v>675.0</v>
      </c>
      <c r="AL680" s="14">
        <f>AL679+SUMIFS(Setting!$E$30:$E$39,Setting!$A$30:$A$39,AL$4,Setting!$C$30:$C$39,"&lt;="&amp;($AK680-1),Setting!$D$30:$D$39,"&gt;="&amp;($AK680-1))</f>
        <v>227.4</v>
      </c>
      <c r="AM680" s="14">
        <f>AM679+SUMIFS(Setting!$E$30:$E$39,Setting!$A$30:$A$39,AM$4,Setting!$C$30:$C$39,"&lt;="&amp;($AK680-1),Setting!$D$30:$D$39,"&gt;="&amp;($AK680-1))</f>
        <v>196.6</v>
      </c>
    </row>
    <row r="681" ht="15.75" customHeight="1">
      <c r="AK681" s="14">
        <v>676.0</v>
      </c>
      <c r="AL681" s="14">
        <f>AL680+SUMIFS(Setting!$E$30:$E$39,Setting!$A$30:$A$39,AL$4,Setting!$C$30:$C$39,"&lt;="&amp;($AK681-1),Setting!$D$30:$D$39,"&gt;="&amp;($AK681-1))</f>
        <v>227.6</v>
      </c>
      <c r="AM681" s="14">
        <f>AM680+SUMIFS(Setting!$E$30:$E$39,Setting!$A$30:$A$39,AM$4,Setting!$C$30:$C$39,"&lt;="&amp;($AK681-1),Setting!$D$30:$D$39,"&gt;="&amp;($AK681-1))</f>
        <v>196.8</v>
      </c>
    </row>
    <row r="682" ht="15.75" customHeight="1">
      <c r="AK682" s="14">
        <v>677.0</v>
      </c>
      <c r="AL682" s="14">
        <f>AL681+SUMIFS(Setting!$E$30:$E$39,Setting!$A$30:$A$39,AL$4,Setting!$C$30:$C$39,"&lt;="&amp;($AK682-1),Setting!$D$30:$D$39,"&gt;="&amp;($AK682-1))</f>
        <v>227.8</v>
      </c>
      <c r="AM682" s="14">
        <f>AM681+SUMIFS(Setting!$E$30:$E$39,Setting!$A$30:$A$39,AM$4,Setting!$C$30:$C$39,"&lt;="&amp;($AK682-1),Setting!$D$30:$D$39,"&gt;="&amp;($AK682-1))</f>
        <v>197</v>
      </c>
    </row>
    <row r="683" ht="15.75" customHeight="1">
      <c r="AK683" s="14">
        <v>678.0</v>
      </c>
      <c r="AL683" s="14">
        <f>AL682+SUMIFS(Setting!$E$30:$E$39,Setting!$A$30:$A$39,AL$4,Setting!$C$30:$C$39,"&lt;="&amp;($AK683-1),Setting!$D$30:$D$39,"&gt;="&amp;($AK683-1))</f>
        <v>228</v>
      </c>
      <c r="AM683" s="14">
        <f>AM682+SUMIFS(Setting!$E$30:$E$39,Setting!$A$30:$A$39,AM$4,Setting!$C$30:$C$39,"&lt;="&amp;($AK683-1),Setting!$D$30:$D$39,"&gt;="&amp;($AK683-1))</f>
        <v>197.2</v>
      </c>
    </row>
    <row r="684" ht="15.75" customHeight="1">
      <c r="AK684" s="14">
        <v>679.0</v>
      </c>
      <c r="AL684" s="14">
        <f>AL683+SUMIFS(Setting!$E$30:$E$39,Setting!$A$30:$A$39,AL$4,Setting!$C$30:$C$39,"&lt;="&amp;($AK684-1),Setting!$D$30:$D$39,"&gt;="&amp;($AK684-1))</f>
        <v>228.2</v>
      </c>
      <c r="AM684" s="14">
        <f>AM683+SUMIFS(Setting!$E$30:$E$39,Setting!$A$30:$A$39,AM$4,Setting!$C$30:$C$39,"&lt;="&amp;($AK684-1),Setting!$D$30:$D$39,"&gt;="&amp;($AK684-1))</f>
        <v>197.4</v>
      </c>
    </row>
    <row r="685" ht="15.75" customHeight="1">
      <c r="AK685" s="14">
        <v>680.0</v>
      </c>
      <c r="AL685" s="14">
        <f>AL684+SUMIFS(Setting!$E$30:$E$39,Setting!$A$30:$A$39,AL$4,Setting!$C$30:$C$39,"&lt;="&amp;($AK685-1),Setting!$D$30:$D$39,"&gt;="&amp;($AK685-1))</f>
        <v>228.4</v>
      </c>
      <c r="AM685" s="14">
        <f>AM684+SUMIFS(Setting!$E$30:$E$39,Setting!$A$30:$A$39,AM$4,Setting!$C$30:$C$39,"&lt;="&amp;($AK685-1),Setting!$D$30:$D$39,"&gt;="&amp;($AK685-1))</f>
        <v>197.6</v>
      </c>
    </row>
    <row r="686" ht="15.75" customHeight="1">
      <c r="AK686" s="14">
        <v>681.0</v>
      </c>
      <c r="AL686" s="14">
        <f>AL685+SUMIFS(Setting!$E$30:$E$39,Setting!$A$30:$A$39,AL$4,Setting!$C$30:$C$39,"&lt;="&amp;($AK686-1),Setting!$D$30:$D$39,"&gt;="&amp;($AK686-1))</f>
        <v>228.6</v>
      </c>
      <c r="AM686" s="14">
        <f>AM685+SUMIFS(Setting!$E$30:$E$39,Setting!$A$30:$A$39,AM$4,Setting!$C$30:$C$39,"&lt;="&amp;($AK686-1),Setting!$D$30:$D$39,"&gt;="&amp;($AK686-1))</f>
        <v>197.8</v>
      </c>
    </row>
    <row r="687" ht="15.75" customHeight="1">
      <c r="AK687" s="14">
        <v>682.0</v>
      </c>
      <c r="AL687" s="14">
        <f>AL686+SUMIFS(Setting!$E$30:$E$39,Setting!$A$30:$A$39,AL$4,Setting!$C$30:$C$39,"&lt;="&amp;($AK687-1),Setting!$D$30:$D$39,"&gt;="&amp;($AK687-1))</f>
        <v>228.8</v>
      </c>
      <c r="AM687" s="14">
        <f>AM686+SUMIFS(Setting!$E$30:$E$39,Setting!$A$30:$A$39,AM$4,Setting!$C$30:$C$39,"&lt;="&amp;($AK687-1),Setting!$D$30:$D$39,"&gt;="&amp;($AK687-1))</f>
        <v>198</v>
      </c>
    </row>
    <row r="688" ht="15.75" customHeight="1">
      <c r="AK688" s="14">
        <v>683.0</v>
      </c>
      <c r="AL688" s="14">
        <f>AL687+SUMIFS(Setting!$E$30:$E$39,Setting!$A$30:$A$39,AL$4,Setting!$C$30:$C$39,"&lt;="&amp;($AK688-1),Setting!$D$30:$D$39,"&gt;="&amp;($AK688-1))</f>
        <v>229</v>
      </c>
      <c r="AM688" s="14">
        <f>AM687+SUMIFS(Setting!$E$30:$E$39,Setting!$A$30:$A$39,AM$4,Setting!$C$30:$C$39,"&lt;="&amp;($AK688-1),Setting!$D$30:$D$39,"&gt;="&amp;($AK688-1))</f>
        <v>198.2</v>
      </c>
    </row>
    <row r="689" ht="15.75" customHeight="1">
      <c r="AK689" s="14">
        <v>684.0</v>
      </c>
      <c r="AL689" s="14">
        <f>AL688+SUMIFS(Setting!$E$30:$E$39,Setting!$A$30:$A$39,AL$4,Setting!$C$30:$C$39,"&lt;="&amp;($AK689-1),Setting!$D$30:$D$39,"&gt;="&amp;($AK689-1))</f>
        <v>229.2</v>
      </c>
      <c r="AM689" s="14">
        <f>AM688+SUMIFS(Setting!$E$30:$E$39,Setting!$A$30:$A$39,AM$4,Setting!$C$30:$C$39,"&lt;="&amp;($AK689-1),Setting!$D$30:$D$39,"&gt;="&amp;($AK689-1))</f>
        <v>198.4</v>
      </c>
    </row>
    <row r="690" ht="15.75" customHeight="1">
      <c r="AK690" s="14">
        <v>685.0</v>
      </c>
      <c r="AL690" s="14">
        <f>AL689+SUMIFS(Setting!$E$30:$E$39,Setting!$A$30:$A$39,AL$4,Setting!$C$30:$C$39,"&lt;="&amp;($AK690-1),Setting!$D$30:$D$39,"&gt;="&amp;($AK690-1))</f>
        <v>229.4</v>
      </c>
      <c r="AM690" s="14">
        <f>AM689+SUMIFS(Setting!$E$30:$E$39,Setting!$A$30:$A$39,AM$4,Setting!$C$30:$C$39,"&lt;="&amp;($AK690-1),Setting!$D$30:$D$39,"&gt;="&amp;($AK690-1))</f>
        <v>198.6</v>
      </c>
    </row>
    <row r="691" ht="15.75" customHeight="1">
      <c r="AK691" s="14">
        <v>686.0</v>
      </c>
      <c r="AL691" s="14">
        <f>AL690+SUMIFS(Setting!$E$30:$E$39,Setting!$A$30:$A$39,AL$4,Setting!$C$30:$C$39,"&lt;="&amp;($AK691-1),Setting!$D$30:$D$39,"&gt;="&amp;($AK691-1))</f>
        <v>229.6</v>
      </c>
      <c r="AM691" s="14">
        <f>AM690+SUMIFS(Setting!$E$30:$E$39,Setting!$A$30:$A$39,AM$4,Setting!$C$30:$C$39,"&lt;="&amp;($AK691-1),Setting!$D$30:$D$39,"&gt;="&amp;($AK691-1))</f>
        <v>198.8</v>
      </c>
    </row>
    <row r="692" ht="15.75" customHeight="1">
      <c r="AK692" s="14">
        <v>687.0</v>
      </c>
      <c r="AL692" s="14">
        <f>AL691+SUMIFS(Setting!$E$30:$E$39,Setting!$A$30:$A$39,AL$4,Setting!$C$30:$C$39,"&lt;="&amp;($AK692-1),Setting!$D$30:$D$39,"&gt;="&amp;($AK692-1))</f>
        <v>229.8</v>
      </c>
      <c r="AM692" s="14">
        <f>AM691+SUMIFS(Setting!$E$30:$E$39,Setting!$A$30:$A$39,AM$4,Setting!$C$30:$C$39,"&lt;="&amp;($AK692-1),Setting!$D$30:$D$39,"&gt;="&amp;($AK692-1))</f>
        <v>199</v>
      </c>
    </row>
    <row r="693" ht="15.75" customHeight="1">
      <c r="AK693" s="14">
        <v>688.0</v>
      </c>
      <c r="AL693" s="14">
        <f>AL692+SUMIFS(Setting!$E$30:$E$39,Setting!$A$30:$A$39,AL$4,Setting!$C$30:$C$39,"&lt;="&amp;($AK693-1),Setting!$D$30:$D$39,"&gt;="&amp;($AK693-1))</f>
        <v>230</v>
      </c>
      <c r="AM693" s="14">
        <f>AM692+SUMIFS(Setting!$E$30:$E$39,Setting!$A$30:$A$39,AM$4,Setting!$C$30:$C$39,"&lt;="&amp;($AK693-1),Setting!$D$30:$D$39,"&gt;="&amp;($AK693-1))</f>
        <v>199.2</v>
      </c>
    </row>
    <row r="694" ht="15.75" customHeight="1">
      <c r="AK694" s="14">
        <v>689.0</v>
      </c>
      <c r="AL694" s="14">
        <f>AL693+SUMIFS(Setting!$E$30:$E$39,Setting!$A$30:$A$39,AL$4,Setting!$C$30:$C$39,"&lt;="&amp;($AK694-1),Setting!$D$30:$D$39,"&gt;="&amp;($AK694-1))</f>
        <v>230.2</v>
      </c>
      <c r="AM694" s="14">
        <f>AM693+SUMIFS(Setting!$E$30:$E$39,Setting!$A$30:$A$39,AM$4,Setting!$C$30:$C$39,"&lt;="&amp;($AK694-1),Setting!$D$30:$D$39,"&gt;="&amp;($AK694-1))</f>
        <v>199.4</v>
      </c>
    </row>
    <row r="695" ht="15.75" customHeight="1">
      <c r="AK695" s="14">
        <v>690.0</v>
      </c>
      <c r="AL695" s="14">
        <f>AL694+SUMIFS(Setting!$E$30:$E$39,Setting!$A$30:$A$39,AL$4,Setting!$C$30:$C$39,"&lt;="&amp;($AK695-1),Setting!$D$30:$D$39,"&gt;="&amp;($AK695-1))</f>
        <v>230.4</v>
      </c>
      <c r="AM695" s="14">
        <f>AM694+SUMIFS(Setting!$E$30:$E$39,Setting!$A$30:$A$39,AM$4,Setting!$C$30:$C$39,"&lt;="&amp;($AK695-1),Setting!$D$30:$D$39,"&gt;="&amp;($AK695-1))</f>
        <v>199.6</v>
      </c>
    </row>
    <row r="696" ht="15.75" customHeight="1">
      <c r="AK696" s="14">
        <v>691.0</v>
      </c>
      <c r="AL696" s="14">
        <f>AL695+SUMIFS(Setting!$E$30:$E$39,Setting!$A$30:$A$39,AL$4,Setting!$C$30:$C$39,"&lt;="&amp;($AK696-1),Setting!$D$30:$D$39,"&gt;="&amp;($AK696-1))</f>
        <v>230.6</v>
      </c>
      <c r="AM696" s="14">
        <f>AM695+SUMIFS(Setting!$E$30:$E$39,Setting!$A$30:$A$39,AM$4,Setting!$C$30:$C$39,"&lt;="&amp;($AK696-1),Setting!$D$30:$D$39,"&gt;="&amp;($AK696-1))</f>
        <v>199.8</v>
      </c>
    </row>
    <row r="697" ht="15.75" customHeight="1">
      <c r="AK697" s="14">
        <v>692.0</v>
      </c>
      <c r="AL697" s="14">
        <f>AL696+SUMIFS(Setting!$E$30:$E$39,Setting!$A$30:$A$39,AL$4,Setting!$C$30:$C$39,"&lt;="&amp;($AK697-1),Setting!$D$30:$D$39,"&gt;="&amp;($AK697-1))</f>
        <v>230.8</v>
      </c>
      <c r="AM697" s="14">
        <f>AM696+SUMIFS(Setting!$E$30:$E$39,Setting!$A$30:$A$39,AM$4,Setting!$C$30:$C$39,"&lt;="&amp;($AK697-1),Setting!$D$30:$D$39,"&gt;="&amp;($AK697-1))</f>
        <v>200</v>
      </c>
    </row>
    <row r="698" ht="15.75" customHeight="1">
      <c r="AK698" s="14">
        <v>693.0</v>
      </c>
      <c r="AL698" s="14">
        <f>AL697+SUMIFS(Setting!$E$30:$E$39,Setting!$A$30:$A$39,AL$4,Setting!$C$30:$C$39,"&lt;="&amp;($AK698-1),Setting!$D$30:$D$39,"&gt;="&amp;($AK698-1))</f>
        <v>231</v>
      </c>
      <c r="AM698" s="14">
        <f>AM697+SUMIFS(Setting!$E$30:$E$39,Setting!$A$30:$A$39,AM$4,Setting!$C$30:$C$39,"&lt;="&amp;($AK698-1),Setting!$D$30:$D$39,"&gt;="&amp;($AK698-1))</f>
        <v>200.2</v>
      </c>
    </row>
    <row r="699" ht="15.75" customHeight="1">
      <c r="AK699" s="14">
        <v>694.0</v>
      </c>
      <c r="AL699" s="14">
        <f>AL698+SUMIFS(Setting!$E$30:$E$39,Setting!$A$30:$A$39,AL$4,Setting!$C$30:$C$39,"&lt;="&amp;($AK699-1),Setting!$D$30:$D$39,"&gt;="&amp;($AK699-1))</f>
        <v>231.2</v>
      </c>
      <c r="AM699" s="14">
        <f>AM698+SUMIFS(Setting!$E$30:$E$39,Setting!$A$30:$A$39,AM$4,Setting!$C$30:$C$39,"&lt;="&amp;($AK699-1),Setting!$D$30:$D$39,"&gt;="&amp;($AK699-1))</f>
        <v>200.4</v>
      </c>
    </row>
    <row r="700" ht="15.75" customHeight="1">
      <c r="AK700" s="14">
        <v>695.0</v>
      </c>
      <c r="AL700" s="14">
        <f>AL699+SUMIFS(Setting!$E$30:$E$39,Setting!$A$30:$A$39,AL$4,Setting!$C$30:$C$39,"&lt;="&amp;($AK700-1),Setting!$D$30:$D$39,"&gt;="&amp;($AK700-1))</f>
        <v>231.4</v>
      </c>
      <c r="AM700" s="14">
        <f>AM699+SUMIFS(Setting!$E$30:$E$39,Setting!$A$30:$A$39,AM$4,Setting!$C$30:$C$39,"&lt;="&amp;($AK700-1),Setting!$D$30:$D$39,"&gt;="&amp;($AK700-1))</f>
        <v>200.6</v>
      </c>
    </row>
    <row r="701" ht="15.75" customHeight="1">
      <c r="AK701" s="14">
        <v>696.0</v>
      </c>
      <c r="AL701" s="14">
        <f>AL700+SUMIFS(Setting!$E$30:$E$39,Setting!$A$30:$A$39,AL$4,Setting!$C$30:$C$39,"&lt;="&amp;($AK701-1),Setting!$D$30:$D$39,"&gt;="&amp;($AK701-1))</f>
        <v>231.6</v>
      </c>
      <c r="AM701" s="14">
        <f>AM700+SUMIFS(Setting!$E$30:$E$39,Setting!$A$30:$A$39,AM$4,Setting!$C$30:$C$39,"&lt;="&amp;($AK701-1),Setting!$D$30:$D$39,"&gt;="&amp;($AK701-1))</f>
        <v>200.8</v>
      </c>
    </row>
    <row r="702" ht="15.75" customHeight="1">
      <c r="AK702" s="14">
        <v>697.0</v>
      </c>
      <c r="AL702" s="14">
        <f>AL701+SUMIFS(Setting!$E$30:$E$39,Setting!$A$30:$A$39,AL$4,Setting!$C$30:$C$39,"&lt;="&amp;($AK702-1),Setting!$D$30:$D$39,"&gt;="&amp;($AK702-1))</f>
        <v>231.8</v>
      </c>
      <c r="AM702" s="14">
        <f>AM701+SUMIFS(Setting!$E$30:$E$39,Setting!$A$30:$A$39,AM$4,Setting!$C$30:$C$39,"&lt;="&amp;($AK702-1),Setting!$D$30:$D$39,"&gt;="&amp;($AK702-1))</f>
        <v>201</v>
      </c>
    </row>
    <row r="703" ht="15.75" customHeight="1">
      <c r="AK703" s="14">
        <v>698.0</v>
      </c>
      <c r="AL703" s="14">
        <f>AL702+SUMIFS(Setting!$E$30:$E$39,Setting!$A$30:$A$39,AL$4,Setting!$C$30:$C$39,"&lt;="&amp;($AK703-1),Setting!$D$30:$D$39,"&gt;="&amp;($AK703-1))</f>
        <v>232</v>
      </c>
      <c r="AM703" s="14">
        <f>AM702+SUMIFS(Setting!$E$30:$E$39,Setting!$A$30:$A$39,AM$4,Setting!$C$30:$C$39,"&lt;="&amp;($AK703-1),Setting!$D$30:$D$39,"&gt;="&amp;($AK703-1))</f>
        <v>201.2</v>
      </c>
    </row>
    <row r="704" ht="15.75" customHeight="1">
      <c r="AK704" s="14">
        <v>699.0</v>
      </c>
      <c r="AL704" s="14">
        <f>AL703+SUMIFS(Setting!$E$30:$E$39,Setting!$A$30:$A$39,AL$4,Setting!$C$30:$C$39,"&lt;="&amp;($AK704-1),Setting!$D$30:$D$39,"&gt;="&amp;($AK704-1))</f>
        <v>232.2</v>
      </c>
      <c r="AM704" s="14">
        <f>AM703+SUMIFS(Setting!$E$30:$E$39,Setting!$A$30:$A$39,AM$4,Setting!$C$30:$C$39,"&lt;="&amp;($AK704-1),Setting!$D$30:$D$39,"&gt;="&amp;($AK704-1))</f>
        <v>201.4</v>
      </c>
    </row>
    <row r="705" ht="15.75" customHeight="1">
      <c r="AK705" s="14">
        <v>700.0</v>
      </c>
      <c r="AL705" s="14">
        <f>AL704+SUMIFS(Setting!$E$30:$E$39,Setting!$A$30:$A$39,AL$4,Setting!$C$30:$C$39,"&lt;="&amp;($AK705-1),Setting!$D$30:$D$39,"&gt;="&amp;($AK705-1))</f>
        <v>232.4</v>
      </c>
      <c r="AM705" s="14">
        <f>AM704+SUMIFS(Setting!$E$30:$E$39,Setting!$A$30:$A$39,AM$4,Setting!$C$30:$C$39,"&lt;="&amp;($AK705-1),Setting!$D$30:$D$39,"&gt;="&amp;($AK705-1))</f>
        <v>201.6</v>
      </c>
    </row>
  </sheetData>
  <printOptions/>
  <pageMargins bottom="1.0" footer="0.0" header="0.0" left="0.75" right="0.75" top="1.0"/>
  <pageSetup paperSize="9" orientation="portrait"/>
  <drawing r:id="rId1"/>
</worksheet>
</file>